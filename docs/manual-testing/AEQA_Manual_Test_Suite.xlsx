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4"/>
  <workbookPr/>
  <mc:AlternateContent xmlns:mc="http://schemas.openxmlformats.org/markup-compatibility/2006">
    <mc:Choice Requires="x15">
      <x15ac:absPath xmlns:x15ac="http://schemas.microsoft.com/office/spreadsheetml/2010/11/ac" url="/Users/admin/Documents/automation-exercise-qa/docs/manual-testing/"/>
    </mc:Choice>
  </mc:AlternateContent>
  <xr:revisionPtr revIDLastSave="0" documentId="13_ncr:1_{D9E5F3C3-C299-3848-8C26-D8DCA23D3559}" xr6:coauthVersionLast="47" xr6:coauthVersionMax="47" xr10:uidLastSave="{00000000-0000-0000-0000-000000000000}"/>
  <bookViews>
    <workbookView xWindow="0" yWindow="580" windowWidth="25600" windowHeight="14440" activeTab="5" xr2:uid="{00000000-000D-0000-FFFF-FFFF00000000}"/>
  </bookViews>
  <sheets>
    <sheet name="00_Overview" sheetId="1" r:id="rId1"/>
    <sheet name="01_Authentication" sheetId="2" r:id="rId2"/>
    <sheet name="02_Products" sheetId="3" r:id="rId3"/>
    <sheet name="03_Cart" sheetId="4" r:id="rId4"/>
    <sheet name="04_Checkout" sheetId="5" r:id="rId5"/>
    <sheet name="05_Support" sheetId="6" r:id="rId6"/>
    <sheet name="06_Navigation" sheetId="7" r:id="rId7"/>
    <sheet name="07_API" sheetId="8" r:id="rId8"/>
    <sheet name="98_Jira_Review" sheetId="9" r:id="rId9"/>
    <sheet name="99_Test_Dat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9" i="1" l="1"/>
  <c r="J19" i="1"/>
  <c r="I19" i="1"/>
  <c r="H19" i="1"/>
  <c r="G19" i="1"/>
  <c r="F19" i="1"/>
  <c r="E19" i="1"/>
  <c r="D19" i="1"/>
  <c r="K18" i="1"/>
  <c r="J18" i="1"/>
  <c r="I18" i="1"/>
  <c r="H18" i="1"/>
  <c r="G18" i="1"/>
  <c r="F18" i="1"/>
  <c r="E18" i="1"/>
  <c r="D18" i="1"/>
  <c r="K17" i="1"/>
  <c r="J17" i="1"/>
  <c r="I17" i="1"/>
  <c r="H17" i="1"/>
  <c r="G17" i="1"/>
  <c r="F17" i="1"/>
  <c r="E17" i="1"/>
  <c r="D17" i="1"/>
  <c r="K16" i="1"/>
  <c r="J16" i="1"/>
  <c r="I16" i="1"/>
  <c r="H16" i="1"/>
  <c r="G16" i="1"/>
  <c r="F16" i="1"/>
  <c r="E16" i="1"/>
  <c r="D16" i="1"/>
  <c r="K15" i="1"/>
  <c r="J15" i="1"/>
  <c r="I15" i="1"/>
  <c r="H15" i="1"/>
  <c r="G15" i="1"/>
  <c r="F15" i="1"/>
  <c r="E15" i="1"/>
  <c r="D15" i="1"/>
  <c r="K14" i="1"/>
  <c r="J14" i="1"/>
  <c r="I14" i="1"/>
  <c r="H14" i="1"/>
  <c r="G14" i="1"/>
  <c r="F14" i="1"/>
  <c r="E14" i="1"/>
  <c r="D14" i="1"/>
  <c r="K13" i="1"/>
  <c r="J13" i="1"/>
  <c r="I13" i="1"/>
  <c r="H13" i="1"/>
  <c r="G13" i="1"/>
  <c r="F13" i="1"/>
  <c r="E13" i="1"/>
  <c r="D13" i="1"/>
  <c r="E9" i="1"/>
  <c r="E8" i="1"/>
  <c r="E7" i="1"/>
  <c r="E6" i="1"/>
  <c r="E5" i="1"/>
  <c r="E4" i="1"/>
</calcChain>
</file>

<file path=xl/sharedStrings.xml><?xml version="1.0" encoding="utf-8"?>
<sst xmlns="http://schemas.openxmlformats.org/spreadsheetml/2006/main" count="1843" uniqueCount="773">
  <si>
    <t>Automation Exercise QA - Manual Test Suite</t>
  </si>
  <si>
    <t>Project</t>
  </si>
  <si>
    <t>Automation Exercise QA</t>
  </si>
  <si>
    <t>KPI</t>
  </si>
  <si>
    <t>Value</t>
  </si>
  <si>
    <t>System Under Test</t>
  </si>
  <si>
    <t>https://www.automationexercise.com/</t>
  </si>
  <si>
    <t>Total Manual Test Cases</t>
  </si>
  <si>
    <t>Requirement Source</t>
  </si>
  <si>
    <t>Jira simulated portfolio backlog + Automation Exercise public test/API scenarios</t>
  </si>
  <si>
    <t>Automation Candidate = Yes</t>
  </si>
  <si>
    <t>Execution Status</t>
  </si>
  <si>
    <t>Ready for manual execution</t>
  </si>
  <si>
    <t>Automation Candidate = Later</t>
  </si>
  <si>
    <t>Automation Candidate = No</t>
  </si>
  <si>
    <t>Status = Not Run</t>
  </si>
  <si>
    <t>Status = Fail</t>
  </si>
  <si>
    <t>Epic ID</t>
  </si>
  <si>
    <t>Epic</t>
  </si>
  <si>
    <t>Sheet</t>
  </si>
  <si>
    <t>Test Cases</t>
  </si>
  <si>
    <t>Auto Yes</t>
  </si>
  <si>
    <t>Auto Later</t>
  </si>
  <si>
    <t>Auto No</t>
  </si>
  <si>
    <t>Not Run</t>
  </si>
  <si>
    <t>Pass</t>
  </si>
  <si>
    <t>Fail</t>
  </si>
  <si>
    <t>Blocked</t>
  </si>
  <si>
    <t>AEQA-1</t>
  </si>
  <si>
    <t>Authentication &amp; Account Management</t>
  </si>
  <si>
    <t>01_Authentication</t>
  </si>
  <si>
    <t>AEQA-2</t>
  </si>
  <si>
    <t>Product Catalog &amp; Discovery</t>
  </si>
  <si>
    <t>02_Products</t>
  </si>
  <si>
    <t>AEQA-3</t>
  </si>
  <si>
    <t>Shopping Cart Management</t>
  </si>
  <si>
    <t>03_Cart</t>
  </si>
  <si>
    <t>AEQA-4</t>
  </si>
  <si>
    <t>Checkout &amp; Order Management</t>
  </si>
  <si>
    <t>04_Checkout</t>
  </si>
  <si>
    <t>AEQA-5</t>
  </si>
  <si>
    <t>Customer Engagement &amp; Support</t>
  </si>
  <si>
    <t>05_Support</t>
  </si>
  <si>
    <t>AEQA-6</t>
  </si>
  <si>
    <t>Navigation &amp; UI Behavior</t>
  </si>
  <si>
    <t>06_Navigation</t>
  </si>
  <si>
    <t>AEQA-7</t>
  </si>
  <si>
    <t>API Testing</t>
  </si>
  <si>
    <t>07_API</t>
  </si>
  <si>
    <t>How to use this workbook</t>
  </si>
  <si>
    <t>1</t>
  </si>
  <si>
    <t>Review the test case before execution.</t>
  </si>
  <si>
    <t>2</t>
  </si>
  <si>
    <t>Prepare the required test data from 99_Test_Data.</t>
  </si>
  <si>
    <t>3</t>
  </si>
  <si>
    <t>Execute manually on Automation Exercise.</t>
  </si>
  <si>
    <t>4</t>
  </si>
  <si>
    <t>Fill Actual Result, Status, and Evidence / Notes.</t>
  </si>
  <si>
    <t>5</t>
  </si>
  <si>
    <t>6</t>
  </si>
  <si>
    <t>Retest when applicable and update Status.</t>
  </si>
  <si>
    <t>7</t>
  </si>
  <si>
    <t>Test Case ID</t>
  </si>
  <si>
    <t>Story ID</t>
  </si>
  <si>
    <t>Story</t>
  </si>
  <si>
    <t>AC Ref</t>
  </si>
  <si>
    <t>Scenario</t>
  </si>
  <si>
    <t>Test Case Title</t>
  </si>
  <si>
    <t>Precondition</t>
  </si>
  <si>
    <t>Test Steps</t>
  </si>
  <si>
    <t>Test Data</t>
  </si>
  <si>
    <t>Expected Result</t>
  </si>
  <si>
    <t>Actual Result</t>
  </si>
  <si>
    <t>Status</t>
  </si>
  <si>
    <t>Priority</t>
  </si>
  <si>
    <t>Test Type</t>
  </si>
  <si>
    <t>Automation Candidate</t>
  </si>
  <si>
    <t>Auto Priority</t>
  </si>
  <si>
    <t>Bug ID</t>
  </si>
  <si>
    <t>Evidence / Notes</t>
  </si>
  <si>
    <t>Source Case</t>
  </si>
  <si>
    <t>Source URL</t>
  </si>
  <si>
    <t>TC-AUTH-001</t>
  </si>
  <si>
    <t>AEQA-8</t>
  </si>
  <si>
    <t>User Registration</t>
  </si>
  <si>
    <t>AC1, AC2</t>
  </si>
  <si>
    <t>Register with valid information</t>
  </si>
  <si>
    <t>Verify a new user can register successfully</t>
  </si>
  <si>
    <t>User is logged out.
Email address has not been registered before.</t>
  </si>
  <si>
    <t>1. Open Automation Exercise.
2. Verify Home page is visible.
3. Click 'Signup / Login'.
4. Verify 'New User Signup!' is visible.
5. Enter valid name and unique email.
6. Click 'Signup'.
7. Verify 'ENTER ACCOUNT INFORMATION' is visible.
8. Fill required account information.
9. Fill required address information.
10. Click 'Create Account'.
11. Verify 'ACCOUNT CREATED!'.
12. Click 'Continue'.
13. Verify 'Logged in as &lt;username&gt;'.</t>
  </si>
  <si>
    <t>Account is created successfully.
'ACCOUNT CREATED!' is displayed.
After Continue, user is logged in and 'Logged in as &lt;username&gt;' is displayed.</t>
  </si>
  <si>
    <t>High</t>
  </si>
  <si>
    <t>Positive / Functional</t>
  </si>
  <si>
    <t>Yes</t>
  </si>
  <si>
    <t>P1</t>
  </si>
  <si>
    <t>UI Test Case 1</t>
  </si>
  <si>
    <t>https://www.automationexercise.com/test_cases</t>
  </si>
  <si>
    <t>TC-AUTH-002</t>
  </si>
  <si>
    <t>AC3</t>
  </si>
  <si>
    <t>Register with existing email</t>
  </si>
  <si>
    <t>Verify registration is rejected for an existing email</t>
  </si>
  <si>
    <t>A registered account already exists.
User is logged out.</t>
  </si>
  <si>
    <t>1. Open Automation Exercise.
2. Click 'Signup / Login'.
3. Verify 'New User Signup!' is visible.
4. Enter a name.
5. Enter an already registered email.
6. Click 'Signup'.</t>
  </si>
  <si>
    <t>Registration does not continue.
'Email Address already exist!' is displayed.</t>
  </si>
  <si>
    <t>Negative / Functional</t>
  </si>
  <si>
    <t>P2</t>
  </si>
  <si>
    <t>UI Test Case 5</t>
  </si>
  <si>
    <t>TC-AUTH-003</t>
  </si>
  <si>
    <t>Derived</t>
  </si>
  <si>
    <t>Validate required signup fields</t>
  </si>
  <si>
    <t>Verify signup cannot continue when Name is empty</t>
  </si>
  <si>
    <t>User is on the Signup / Login page.</t>
  </si>
  <si>
    <t>1. Leave Name empty.
2. Enter a valid new email.
3. Click 'Signup'.</t>
  </si>
  <si>
    <t>Signup does not continue and required-field validation prevents submission.</t>
  </si>
  <si>
    <t>Medium</t>
  </si>
  <si>
    <t>Negative / Validation</t>
  </si>
  <si>
    <t>Later</t>
  </si>
  <si>
    <t>P3</t>
  </si>
  <si>
    <t>Exploratory validation derived from form constraints</t>
  </si>
  <si>
    <t>TC-AUTH-004</t>
  </si>
  <si>
    <t>Verify signup cannot continue when Email is empty</t>
  </si>
  <si>
    <t>1. Enter a valid name.
2. Leave Email empty.
3. Click 'Signup'.</t>
  </si>
  <si>
    <t>TC-AUTH-005</t>
  </si>
  <si>
    <t>Validate email format</t>
  </si>
  <si>
    <t>Verify signup rejects an invalid email format</t>
  </si>
  <si>
    <t>1. Enter a valid name.
2. Enter an invalid email format such as 'testemail'.
3. Click 'Signup'.</t>
  </si>
  <si>
    <t>Signup does not continue with an invalid email format.</t>
  </si>
  <si>
    <t>TC-AUTH-006</t>
  </si>
  <si>
    <t>AEQA-9</t>
  </si>
  <si>
    <t>User Login</t>
  </si>
  <si>
    <t>AC1</t>
  </si>
  <si>
    <t>Login with valid credentials</t>
  </si>
  <si>
    <t>Verify registered user can login with valid credentials</t>
  </si>
  <si>
    <t>A registered account exists.
User is logged out.</t>
  </si>
  <si>
    <t>1. Open Automation Exercise.
2. Click 'Signup / Login'.
3. Verify 'Login to your account' is visible.
4. Enter registered email and correct password.
5. Click 'Login'.</t>
  </si>
  <si>
    <t>Login succeeds and 'Logged in as &lt;username&gt;' is displayed.</t>
  </si>
  <si>
    <t>UI Test Case 2</t>
  </si>
  <si>
    <t>TC-AUTH-007</t>
  </si>
  <si>
    <t>AC2</t>
  </si>
  <si>
    <t>Login with invalid credentials</t>
  </si>
  <si>
    <t>Verify login fails with invalid email and valid password</t>
  </si>
  <si>
    <t>User is logged out.</t>
  </si>
  <si>
    <t>1. Open Signup / Login page.
2. Enter an unregistered email.
3. Enter a valid-format password.
4. Click 'Login'.</t>
  </si>
  <si>
    <t>User is not logged in and 'Your email or password is incorrect!' is displayed.</t>
  </si>
  <si>
    <t>UI Test Case 3</t>
  </si>
  <si>
    <t>TC-AUTH-008</t>
  </si>
  <si>
    <t>Verify login fails with valid email and invalid password</t>
  </si>
  <si>
    <t>1. Open Signup / Login page.
2. Enter registered email.
3. Enter incorrect password.
4. Click 'Login'.</t>
  </si>
  <si>
    <t>TC-AUTH-009</t>
  </si>
  <si>
    <t>Validate required login fields</t>
  </si>
  <si>
    <t>Verify login cannot continue when Email is empty</t>
  </si>
  <si>
    <t>1. Leave Email empty.
2. Enter a password.
3. Click 'Login'.</t>
  </si>
  <si>
    <t>Login does not continue and required-field validation prevents submission.</t>
  </si>
  <si>
    <t>TC-AUTH-010</t>
  </si>
  <si>
    <t>Verify login cannot continue when Password is empty</t>
  </si>
  <si>
    <t>1. Enter a registered email.
2. Leave Password empty.
3. Click 'Login'.</t>
  </si>
  <si>
    <t>TC-AUTH-011</t>
  </si>
  <si>
    <t>AEQA-10</t>
  </si>
  <si>
    <t>User Logout</t>
  </si>
  <si>
    <t>Logout authenticated user</t>
  </si>
  <si>
    <t>Verify a logged-in user can logout successfully</t>
  </si>
  <si>
    <t>User is logged in.</t>
  </si>
  <si>
    <t>1. Verify 'Logged in as &lt;username&gt;' is visible.
2. Click 'Logout'.</t>
  </si>
  <si>
    <t>User is logged out, redirected to Signup / Login page, and authenticated user state is no longer shown.</t>
  </si>
  <si>
    <t>UI Test Case 4</t>
  </si>
  <si>
    <t>TC-AUTH-012</t>
  </si>
  <si>
    <t>AEQA-11</t>
  </si>
  <si>
    <t>Account Deletion</t>
  </si>
  <si>
    <t>Delete authenticated account</t>
  </si>
  <si>
    <t>Verify a logged-in user can delete the account</t>
  </si>
  <si>
    <t>User is logged in with a disposable test account.</t>
  </si>
  <si>
    <t>1. Verify user is logged in.
2. Click 'Delete Account'.
3. Verify deletion confirmation.</t>
  </si>
  <si>
    <t>Account is deleted successfully and 'ACCOUNT DELETED!' is displayed.</t>
  </si>
  <si>
    <t>UI Test Case 1 / account cleanup step</t>
  </si>
  <si>
    <t>TC-AUTH-013</t>
  </si>
  <si>
    <t>Verify account lifecycle after deletion</t>
  </si>
  <si>
    <t>Verify deleted account cannot login again</t>
  </si>
  <si>
    <t>A disposable account was deleted successfully.</t>
  </si>
  <si>
    <t>1. Open Signup / Login page.
2. Enter the deleted account email and password.
3. Click 'Login'.</t>
  </si>
  <si>
    <t>User is not logged in and the invalid-credentials error is displayed.</t>
  </si>
  <si>
    <t>Negative / Regression</t>
  </si>
  <si>
    <t>Derived lifecycle regression</t>
  </si>
  <si>
    <t>TC-PROD-001</t>
  </si>
  <si>
    <t>AEQA-12</t>
  </si>
  <si>
    <t>View Product Catalog</t>
  </si>
  <si>
    <t>View product catalog</t>
  </si>
  <si>
    <t>Verify user can open the Products page</t>
  </si>
  <si>
    <t>User is on the Home page.</t>
  </si>
  <si>
    <t>1. Click 'Products'.
2. Observe the destination page.</t>
  </si>
  <si>
    <t>N/A</t>
  </si>
  <si>
    <t>User is navigated to the ALL PRODUCTS page successfully.</t>
  </si>
  <si>
    <t>UI Test Case 8</t>
  </si>
  <si>
    <t>TC-PROD-002</t>
  </si>
  <si>
    <t>Verify available products are visible on the Products page</t>
  </si>
  <si>
    <t>User is on the ALL PRODUCTS page.</t>
  </si>
  <si>
    <t>1. Observe the product list.</t>
  </si>
  <si>
    <t>The products list is visible and contains available products.</t>
  </si>
  <si>
    <t>Positive / UI</t>
  </si>
  <si>
    <t>TC-PROD-003</t>
  </si>
  <si>
    <t>AEQA-13</t>
  </si>
  <si>
    <t>View Product Details</t>
  </si>
  <si>
    <t>View product details</t>
  </si>
  <si>
    <t>Verify user can open the first product detail page</t>
  </si>
  <si>
    <t>1. Click 'View Product' for the first product.</t>
  </si>
  <si>
    <t>First visible product</t>
  </si>
  <si>
    <t>User lands on the Product Detail page.</t>
  </si>
  <si>
    <t>TC-PROD-004</t>
  </si>
  <si>
    <t>Verify core product information is displayed</t>
  </si>
  <si>
    <t>User is on a Product Detail page.</t>
  </si>
  <si>
    <t>1. Verify product name.
2. Verify category.
3. Verify price.
4. Verify availability.
5. Verify condition.
6. Verify brand.</t>
  </si>
  <si>
    <t>Any available product</t>
  </si>
  <si>
    <t>Name, category, price, availability, condition, and brand are all visible.</t>
  </si>
  <si>
    <t>TC-PROD-005</t>
  </si>
  <si>
    <t>AEQA-14</t>
  </si>
  <si>
    <t>Search Products</t>
  </si>
  <si>
    <t>Search with product keyword</t>
  </si>
  <si>
    <t>Verify search returns products related to 'top'</t>
  </si>
  <si>
    <t>1. Enter 'top' in the search input.
2. Click Search.
3. Verify 'SEARCHED PRODUCTS'.
4. Review returned products.</t>
  </si>
  <si>
    <t>'SEARCHED PRODUCTS' is visible and returned products are related to the search keyword.</t>
  </si>
  <si>
    <t>UI Test Case 9</t>
  </si>
  <si>
    <t>TC-PROD-006</t>
  </si>
  <si>
    <t>Verify search works with another supported keyword</t>
  </si>
  <si>
    <t>1. Enter 'jean' in the search input.
2. Click Search.
3. Verify searched products.</t>
  </si>
  <si>
    <t>Searched products section is displayed and matching products are shown.</t>
  </si>
  <si>
    <t>Positive / Data-driven</t>
  </si>
  <si>
    <t>TC-PROD-007</t>
  </si>
  <si>
    <t>AEQA-15</t>
  </si>
  <si>
    <t>Browse Products by Category</t>
  </si>
  <si>
    <t>Browse a product category</t>
  </si>
  <si>
    <t>Verify products can be viewed by Women category and subcategory</t>
  </si>
  <si>
    <t>Categories are visible on the left sidebar.</t>
  </si>
  <si>
    <t>1. Click 'Women'.
2. Click a Women subcategory such as 'Dress'.
3. Observe the category page and products.</t>
  </si>
  <si>
    <t>Category: Women
Subcategory: Dress</t>
  </si>
  <si>
    <t>Selected category page is displayed and products for the selected category are shown.</t>
  </si>
  <si>
    <t>UI Test Case 18</t>
  </si>
  <si>
    <t>TC-PROD-008</t>
  </si>
  <si>
    <t>Switch product category</t>
  </si>
  <si>
    <t>Verify user can switch from Women to a Men subcategory</t>
  </si>
  <si>
    <t>User is viewing a Women category page.</t>
  </si>
  <si>
    <t>1. Select a subcategory under 'Men'.
2. Observe the destination page.</t>
  </si>
  <si>
    <t>Category: Men
Any available subcategory</t>
  </si>
  <si>
    <t>User is navigated to the selected Men category page and its products are displayed.</t>
  </si>
  <si>
    <t>TC-PROD-009</t>
  </si>
  <si>
    <t>AEQA-16</t>
  </si>
  <si>
    <t>Browse Products by Brand</t>
  </si>
  <si>
    <t>Browse products by brand</t>
  </si>
  <si>
    <t>Verify user can view products for a selected brand</t>
  </si>
  <si>
    <t>User is on the Products page and Brands are visible.</t>
  </si>
  <si>
    <t>1. Click any brand name.
2. Observe the brand page.</t>
  </si>
  <si>
    <t>Use any visible brand.</t>
  </si>
  <si>
    <t>User is navigated to the selected brand page and brand products are displayed.</t>
  </si>
  <si>
    <t>UI Test Case 19</t>
  </si>
  <si>
    <t>TC-PROD-010</t>
  </si>
  <si>
    <t>Switch brand</t>
  </si>
  <si>
    <t>Verify user can switch from one brand to another</t>
  </si>
  <si>
    <t>User is viewing products for one brand.</t>
  </si>
  <si>
    <t>1. Click another brand link.
2. Observe the destination page.</t>
  </si>
  <si>
    <t>Use a second visible brand.</t>
  </si>
  <si>
    <t>User is navigated to the newly selected brand page and corresponding products are displayed.</t>
  </si>
  <si>
    <t>TC-PROD-011</t>
  </si>
  <si>
    <t>AEQA-17</t>
  </si>
  <si>
    <t>Submit Product Review</t>
  </si>
  <si>
    <t>Submit product review</t>
  </si>
  <si>
    <t>Verify a valid product review can be submitted</t>
  </si>
  <si>
    <t>User is on a Product Detail page and 'Write Your Review' is visible.</t>
  </si>
  <si>
    <t>1. Enter name.
2. Enter email.
3. Enter review text.
4. Click 'Submit'.</t>
  </si>
  <si>
    <t>Review is submitted and 'Thank you for your review.' is displayed.</t>
  </si>
  <si>
    <t>UI Test Case 21</t>
  </si>
  <si>
    <t>TC-PROD-012</t>
  </si>
  <si>
    <t>Validate review form</t>
  </si>
  <si>
    <t>Verify review is not submitted when required email is empty</t>
  </si>
  <si>
    <t>1. Enter name.
2. Leave email empty.
3. Enter review text.
4. Click 'Submit'.</t>
  </si>
  <si>
    <t>Submission should be prevented by required-field validation.</t>
  </si>
  <si>
    <t>Low</t>
  </si>
  <si>
    <t>TC-PROD-013</t>
  </si>
  <si>
    <t>AEQA-18</t>
  </si>
  <si>
    <t>View Recommended Products</t>
  </si>
  <si>
    <t>View recommended products</t>
  </si>
  <si>
    <t>Verify Recommended Items section is visible</t>
  </si>
  <si>
    <t>1. Scroll to the bottom area of the Home page.</t>
  </si>
  <si>
    <t>'RECOMMENDED ITEMS' is visible and recommended products are displayed.</t>
  </si>
  <si>
    <t>UI Test Case 22</t>
  </si>
  <si>
    <t>TC-PROD-014</t>
  </si>
  <si>
    <t>Add recommended product to cart</t>
  </si>
  <si>
    <t>Verify a recommended product can be added to cart</t>
  </si>
  <si>
    <t>Recommended Items section is visible.</t>
  </si>
  <si>
    <t>1. Click 'Add To Cart' on a recommended product.
2. Click 'View Cart'.</t>
  </si>
  <si>
    <t>Any recommended product</t>
  </si>
  <si>
    <t>Selected recommended product is displayed in the Cart.</t>
  </si>
  <si>
    <t>TC-CART-001</t>
  </si>
  <si>
    <t>AEQA-19</t>
  </si>
  <si>
    <t>Add Products to Cart</t>
  </si>
  <si>
    <t>Add one product to cart</t>
  </si>
  <si>
    <t>Verify one product can be added to cart</t>
  </si>
  <si>
    <t>User is viewing an available product.</t>
  </si>
  <si>
    <t>1. Click 'Add to cart'.
2. Click 'View Cart'.</t>
  </si>
  <si>
    <t>Selected product is displayed in the Cart.</t>
  </si>
  <si>
    <t>Derived from UI Test Case 12</t>
  </si>
  <si>
    <t>TC-CART-002</t>
  </si>
  <si>
    <t>Add multiple products to cart</t>
  </si>
  <si>
    <t>Verify two products are added with correct cart details</t>
  </si>
  <si>
    <t>User is on the Products page.</t>
  </si>
  <si>
    <t>1. Add first product to cart.
2. Click 'Continue Shopping'.
3. Add second product.
4. Click 'View Cart'.
5. Verify both products.
6. Verify price, quantity, and total.</t>
  </si>
  <si>
    <t>First two available products</t>
  </si>
  <si>
    <t>Both products are present and their price, quantity, and total values are displayed correctly.</t>
  </si>
  <si>
    <t>UI Test Case 12</t>
  </si>
  <si>
    <t>TC-CART-003</t>
  </si>
  <si>
    <t>Continue shopping after adding product</t>
  </si>
  <si>
    <t>Verify Continue Shopping keeps previously added item</t>
  </si>
  <si>
    <t>One product has just been added to cart.</t>
  </si>
  <si>
    <t>1. Click 'Continue Shopping'.
2. Add a second product.
3. Open Cart.</t>
  </si>
  <si>
    <t>Two available products</t>
  </si>
  <si>
    <t>Previously added product remains in the Cart together with the second product.</t>
  </si>
  <si>
    <t>Positive / Regression</t>
  </si>
  <si>
    <t>TC-CART-004</t>
  </si>
  <si>
    <t>AEQA-20</t>
  </si>
  <si>
    <t>Update Product Quantity</t>
  </si>
  <si>
    <t>Add product with selected quantity</t>
  </si>
  <si>
    <t>Verify selected quantity 4 is preserved in cart</t>
  </si>
  <si>
    <t>1. Set quantity to 4.
2. Click 'Add to cart'.
3. Click 'View Cart'.</t>
  </si>
  <si>
    <t>Quantity: 4</t>
  </si>
  <si>
    <t>Product is displayed in Cart with quantity exactly 4.</t>
  </si>
  <si>
    <t>UI Test Case 13</t>
  </si>
  <si>
    <t>TC-CART-005</t>
  </si>
  <si>
    <t>Verify default quantity</t>
  </si>
  <si>
    <t>Verify default quantity is carried to cart</t>
  </si>
  <si>
    <t>1. Leave quantity at its default value.
2. Add product to cart.
3. Open Cart.</t>
  </si>
  <si>
    <t>Default quantity</t>
  </si>
  <si>
    <t>Cart displays the same default quantity selected on Product Detail page.</t>
  </si>
  <si>
    <t>Derived from Story/AC</t>
  </si>
  <si>
    <t>TC-CART-006</t>
  </si>
  <si>
    <t>AEQA-21</t>
  </si>
  <si>
    <t>Remove Product from Cart</t>
  </si>
  <si>
    <t>Remove product from cart</t>
  </si>
  <si>
    <t>Verify a product can be removed from the cart</t>
  </si>
  <si>
    <t>Cart contains at least one product.</t>
  </si>
  <si>
    <t>1. Open Cart.
2. Click the 'X' remove control for a product.</t>
  </si>
  <si>
    <t>Any cart product</t>
  </si>
  <si>
    <t>Selected product is removed and is no longer displayed in the Cart.</t>
  </si>
  <si>
    <t>UI Test Case 17</t>
  </si>
  <si>
    <t>TC-CART-007</t>
  </si>
  <si>
    <t>Remove one of multiple cart products</t>
  </si>
  <si>
    <t>Verify removing one item does not remove other items</t>
  </si>
  <si>
    <t>Cart contains at least two products.</t>
  </si>
  <si>
    <t>1. Remove one product using its 'X' control.
2. Observe remaining cart contents.</t>
  </si>
  <si>
    <t>Two or more cart products</t>
  </si>
  <si>
    <t>Selected product is removed and the other product(s) remain in the Cart.</t>
  </si>
  <si>
    <t>Derived from UI Test Case 17</t>
  </si>
  <si>
    <t>TC-CART-008</t>
  </si>
  <si>
    <t>AEQA-22</t>
  </si>
  <si>
    <t>Preserve Cart After Login</t>
  </si>
  <si>
    <t>Preserve cart after login</t>
  </si>
  <si>
    <t>Verify cart products remain after user logs in</t>
  </si>
  <si>
    <t>User is logged out.
A registered account exists.</t>
  </si>
  <si>
    <t>1. Search for a product.
2. Add searched product(s) to cart.
3. Open Cart and verify items.
4. Click 'Signup / Login'.
5. Login with valid credentials.
6. Open Cart again.</t>
  </si>
  <si>
    <t>Products added before login remain visible in the Cart after successful login.</t>
  </si>
  <si>
    <t>UI Test Case 20</t>
  </si>
  <si>
    <t>TC-CHK-001</t>
  </si>
  <si>
    <t>AEQA-24</t>
  </si>
  <si>
    <t>Register During Checkout</t>
  </si>
  <si>
    <t>Register during checkout</t>
  </si>
  <si>
    <t>Verify guest user can register during checkout and continue</t>
  </si>
  <si>
    <t>User is logged out and Cart contains at least one product.</t>
  </si>
  <si>
    <t>1. Open Cart.
2. Click 'Proceed To Checkout'.
3. Click 'Register / Login'.
4. Complete signup with valid unique data.
5. Verify 'ACCOUNT CREATED!'.
6. Click 'Continue'.
7. Return to Cart.
8. Click 'Proceed To Checkout'.</t>
  </si>
  <si>
    <t>Registration succeeds and the user can return to the checkout flow; Address Details and Review Your Order are displayed.</t>
  </si>
  <si>
    <t>Positive / E2E</t>
  </si>
  <si>
    <t>UI Test Case 14</t>
  </si>
  <si>
    <t>TC-CHK-002</t>
  </si>
  <si>
    <t>AEQA-25</t>
  </si>
  <si>
    <t>Checkout as Existing User</t>
  </si>
  <si>
    <t>Checkout as logged-in user</t>
  </si>
  <si>
    <t>Verify existing user can proceed from cart to checkout</t>
  </si>
  <si>
    <t>Registered user exists and is logged in.
Cart contains at least one product.</t>
  </si>
  <si>
    <t>1. Open Cart.
2. Verify cart page.
3. Click 'Proceed To Checkout'.</t>
  </si>
  <si>
    <t>Checkout page is displayed with Address Details and Review Your Order.</t>
  </si>
  <si>
    <t>UI Test Case 16</t>
  </si>
  <si>
    <t>TC-CHK-003</t>
  </si>
  <si>
    <t>AEQA-26</t>
  </si>
  <si>
    <t>Verify Checkout Addresses</t>
  </si>
  <si>
    <t>Verify delivery address</t>
  </si>
  <si>
    <t>Verify delivery address matches registration data</t>
  </si>
  <si>
    <t>User registered with known address data, is logged in, and has proceeded to checkout.</t>
  </si>
  <si>
    <t>1. Compare Delivery Address with registration address.</t>
  </si>
  <si>
    <t>Delivery Address matches the address entered during registration.</t>
  </si>
  <si>
    <t>Positive / Data Integrity</t>
  </si>
  <si>
    <t>UI Test Case 23</t>
  </si>
  <si>
    <t>TC-CHK-004</t>
  </si>
  <si>
    <t>Verify billing address</t>
  </si>
  <si>
    <t>Verify billing address matches registration data</t>
  </si>
  <si>
    <t>1. Compare Billing Address with registration address.</t>
  </si>
  <si>
    <t>Billing Address matches the address entered during registration.</t>
  </si>
  <si>
    <t>TC-CHK-005</t>
  </si>
  <si>
    <t>AEQA-27</t>
  </si>
  <si>
    <t>Place Order and Payment</t>
  </si>
  <si>
    <t>Place order with valid payment</t>
  </si>
  <si>
    <t>Verify user can complete order with valid payment data</t>
  </si>
  <si>
    <t>User is logged in, Cart contains product(s), and Checkout page is displayed.</t>
  </si>
  <si>
    <t>1. Enter order comment.
2. Click 'Place Order'.
3. Enter Name on Card, Card Number, CVC, Expiration.
4. Click 'Pay and Confirm Order'.</t>
  </si>
  <si>
    <t>Payment is accepted and order success confirmation is displayed.</t>
  </si>
  <si>
    <t>TC-CHK-006</t>
  </si>
  <si>
    <t>Validate payment form</t>
  </si>
  <si>
    <t>Verify payment cannot be submitted when Card Number is empty</t>
  </si>
  <si>
    <t>User is on the Payment page.</t>
  </si>
  <si>
    <t>1. Enter all payment fields except Card Number.
2. Click 'Pay and Confirm Order'.</t>
  </si>
  <si>
    <t>Order should not be completed and required-field validation should prevent payment submission.</t>
  </si>
  <si>
    <t>TC-CHK-007</t>
  </si>
  <si>
    <t>AEQA-28</t>
  </si>
  <si>
    <t>Download Invoice</t>
  </si>
  <si>
    <t>Download invoice</t>
  </si>
  <si>
    <t>Verify invoice can be downloaded after successful order</t>
  </si>
  <si>
    <t>A purchase order was completed successfully.</t>
  </si>
  <si>
    <t>1. Click 'Download Invoice'.
2. Confirm a file download is triggered.</t>
  </si>
  <si>
    <t>Successful order from TC-CHK-005.</t>
  </si>
  <si>
    <t>Invoice file downloads successfully.</t>
  </si>
  <si>
    <t>Positive / Download</t>
  </si>
  <si>
    <t>UI Test Case 24</t>
  </si>
  <si>
    <t>TC-CHK-008</t>
  </si>
  <si>
    <t>Continue after invoice download</t>
  </si>
  <si>
    <t>Verify user can continue after downloading invoice</t>
  </si>
  <si>
    <t>Invoice was downloaded successfully.</t>
  </si>
  <si>
    <t>1. Click 'Continue'.</t>
  </si>
  <si>
    <t>User can continue using the website after invoice download.</t>
  </si>
  <si>
    <t>Positive / Navigation</t>
  </si>
  <si>
    <t>TC-SUP-001</t>
  </si>
  <si>
    <t>AEQA-29</t>
  </si>
  <si>
    <t>Contact Us</t>
  </si>
  <si>
    <t>Submit contact request with attachment</t>
  </si>
  <si>
    <t>Verify Contact Us form can be submitted with a file</t>
  </si>
  <si>
    <t>1. Click 'Contact Us'.
2. Verify 'GET IN TOUCH'.
3. Enter name, email, subject, message.
4. Upload a test file.
5. Click 'Submit'.
6. Confirm browser dialog if shown.</t>
  </si>
  <si>
    <t>'Success! Your details have been submitted successfully.' is displayed.</t>
  </si>
  <si>
    <t>UI Test Case 6</t>
  </si>
  <si>
    <t>TC-SUP-002</t>
  </si>
  <si>
    <t>Submit contact request without attachment</t>
  </si>
  <si>
    <t>Verify Contact Us form can be submitted without optional attachment</t>
  </si>
  <si>
    <t>User is on the Contact Us page.</t>
  </si>
  <si>
    <t>1. Enter valid name, email, subject, message.
2. Do not attach a file.
3. Click 'Submit'.
4. Confirm browser dialog if shown.</t>
  </si>
  <si>
    <t>Contact request is submitted successfully and success confirmation is displayed.</t>
  </si>
  <si>
    <t>Derived from AC: attachment is optional</t>
  </si>
  <si>
    <t>TC-SUP-003</t>
  </si>
  <si>
    <t>Validate contact form</t>
  </si>
  <si>
    <t>Verify contact request is not submitted when Email is empty</t>
  </si>
  <si>
    <t>1. Enter name, subject, message.
2. Leave Email empty.
3. Click 'Submit'.</t>
  </si>
  <si>
    <t>TC-SUB-001</t>
  </si>
  <si>
    <t>AEQA-30</t>
  </si>
  <si>
    <t>Email Subscription</t>
  </si>
  <si>
    <t>Subscribe from Home page</t>
  </si>
  <si>
    <t>Verify email subscription works from Home page</t>
  </si>
  <si>
    <t>1. Scroll to footer.
2. Verify 'SUBSCRIPTION'.
3. Enter valid email.
4. Click arrow button.</t>
  </si>
  <si>
    <t>'You have been successfully subscribed!' is displayed.</t>
  </si>
  <si>
    <t>UI Test Case 10</t>
  </si>
  <si>
    <t>TC-SUB-002</t>
  </si>
  <si>
    <t>Subscribe from Cart page</t>
  </si>
  <si>
    <t>Verify email subscription works from Cart page</t>
  </si>
  <si>
    <t>User is on the Cart page.</t>
  </si>
  <si>
    <t>UI Test Case 11</t>
  </si>
  <si>
    <t>TC-SUB-003</t>
  </si>
  <si>
    <t>Validate subscription email</t>
  </si>
  <si>
    <t>Verify subscription does not accept empty email</t>
  </si>
  <si>
    <t>Subscription section is visible.</t>
  </si>
  <si>
    <t>1. Leave subscription email empty.
2. Click arrow button.</t>
  </si>
  <si>
    <t>Subscription should not complete and required-field validation should prevent submission.</t>
  </si>
  <si>
    <t>TC-NAV-001</t>
  </si>
  <si>
    <t>AEQA-31</t>
  </si>
  <si>
    <t>Access Test Cases Page</t>
  </si>
  <si>
    <t>Navigate to Test Cases page</t>
  </si>
  <si>
    <t>Verify Test Cases navigation opens the Test Cases page</t>
  </si>
  <si>
    <t>1. Click 'Test Cases'.</t>
  </si>
  <si>
    <t>User is navigated to the Test Cases page successfully.</t>
  </si>
  <si>
    <t>UI Test Case 7</t>
  </si>
  <si>
    <t>TC-NAV-002</t>
  </si>
  <si>
    <t>AEQA-32</t>
  </si>
  <si>
    <t>Scroll to Top Using Arrow</t>
  </si>
  <si>
    <t>Scroll to bottom using page scroll</t>
  </si>
  <si>
    <t>Verify footer content and scroll-to-top arrow appear near the bottom</t>
  </si>
  <si>
    <t>1. Scroll to the bottom of the page.
2. Verify 'SUBSCRIPTION'.
3. Observe scroll-to-top arrow.</t>
  </si>
  <si>
    <t>Footer area is visible and scroll-to-top arrow is available.</t>
  </si>
  <si>
    <t>No</t>
  </si>
  <si>
    <t>UI Test Case 25</t>
  </si>
  <si>
    <t>TC-NAV-003</t>
  </si>
  <si>
    <t>Return to top using arrow</t>
  </si>
  <si>
    <t>Verify scroll-to-top arrow moves user back to top</t>
  </si>
  <si>
    <t>User is near the bottom of Home page and scroll-to-top arrow is visible.</t>
  </si>
  <si>
    <t>1. Click the scroll-to-top arrow.</t>
  </si>
  <si>
    <t>Page scrolls to the top and 'Full-Fledged practice website for Automation Engineers' is visible.</t>
  </si>
  <si>
    <t>TC-NAV-004</t>
  </si>
  <si>
    <t>AEQA-33</t>
  </si>
  <si>
    <t>Manual Page Scrolling</t>
  </si>
  <si>
    <t>Manual scroll to bottom</t>
  </si>
  <si>
    <t>Verify user can manually scroll to the footer</t>
  </si>
  <si>
    <t>User is at the top of the Home page.</t>
  </si>
  <si>
    <t>1. Manually scroll down to the bottom.</t>
  </si>
  <si>
    <t>Footer area is reachable and 'SUBSCRIPTION' is visible.</t>
  </si>
  <si>
    <t>UI Test Case 26</t>
  </si>
  <si>
    <t>TC-NAV-005</t>
  </si>
  <si>
    <t>Manual scroll back to top</t>
  </si>
  <si>
    <t>Verify user can manually return to the top</t>
  </si>
  <si>
    <t>User is near the bottom of the Home page.</t>
  </si>
  <si>
    <t>1. Manually scroll upward to the top.</t>
  </si>
  <si>
    <t>Top-page content is visible again, including 'Full-Fledged practice website for Automation Engineers'.</t>
  </si>
  <si>
    <t>TC-API-001</t>
  </si>
  <si>
    <t>AEQA-34</t>
  </si>
  <si>
    <t>Product APIs</t>
  </si>
  <si>
    <t>Retrieve product list</t>
  </si>
  <si>
    <t>Verify GET /api/productsList returns all products</t>
  </si>
  <si>
    <t>API is reachable.</t>
  </si>
  <si>
    <t>1. Send GET request to /api/productsList.
2. Inspect response.</t>
  </si>
  <si>
    <t>Method: GET
Endpoint: /api/productsList</t>
  </si>
  <si>
    <t>Response code is 200 and response contains the products list.</t>
  </si>
  <si>
    <t>API / Functional</t>
  </si>
  <si>
    <t>API 1: Get All Products List</t>
  </si>
  <si>
    <t>https://www.automationexercise.com/api_list</t>
  </si>
  <si>
    <t>TC-API-002</t>
  </si>
  <si>
    <t>Unsupported product-list method</t>
  </si>
  <si>
    <t>Verify POST /api/productsList is rejected</t>
  </si>
  <si>
    <t>1. Send POST request to /api/productsList.
2. Inspect response.</t>
  </si>
  <si>
    <t>Method: POST
Endpoint: /api/productsList</t>
  </si>
  <si>
    <t>Response code is 405 and message is 'This request method is not supported.'.</t>
  </si>
  <si>
    <t>API 2: POST To All Products List</t>
  </si>
  <si>
    <t>TC-API-003</t>
  </si>
  <si>
    <t>AEQA-35</t>
  </si>
  <si>
    <t>Brand APIs</t>
  </si>
  <si>
    <t>Retrieve brand list</t>
  </si>
  <si>
    <t>Verify GET /api/brandsList returns all brands</t>
  </si>
  <si>
    <t>1. Send GET request to /api/brandsList.
2. Inspect response.</t>
  </si>
  <si>
    <t>Method: GET
Endpoint: /api/brandsList</t>
  </si>
  <si>
    <t>Response code is 200 and response contains the brands list.</t>
  </si>
  <si>
    <t>API 3: Get All Brands List</t>
  </si>
  <si>
    <t>TC-API-004</t>
  </si>
  <si>
    <t>Unsupported brands method</t>
  </si>
  <si>
    <t>Verify PUT /api/brandsList is rejected</t>
  </si>
  <si>
    <t>1. Send PUT request to /api/brandsList.
2. Inspect response.</t>
  </si>
  <si>
    <t>Method: PUT
Endpoint: /api/brandsList</t>
  </si>
  <si>
    <t>API 4: PUT To All Brands List</t>
  </si>
  <si>
    <t>TC-API-005</t>
  </si>
  <si>
    <t>AEQA-36</t>
  </si>
  <si>
    <t>Product Search API</t>
  </si>
  <si>
    <t>Search products with valid parameter</t>
  </si>
  <si>
    <t>Verify POST /api/searchProduct returns matching products</t>
  </si>
  <si>
    <t>1. Send POST request to /api/searchProduct with search_product.
2. Inspect response.</t>
  </si>
  <si>
    <t>Response code is 200 and response contains searched products.</t>
  </si>
  <si>
    <t>API 5: POST To Search Product</t>
  </si>
  <si>
    <t>TC-API-006</t>
  </si>
  <si>
    <t>Search products without required parameter</t>
  </si>
  <si>
    <t>Verify POST /api/searchProduct without search_product returns 400</t>
  </si>
  <si>
    <t>1. Send POST request to /api/searchProduct without search_product.
2. Inspect response.</t>
  </si>
  <si>
    <t>Method: POST
Endpoint: /api/searchProduct
No search_product parameter</t>
  </si>
  <si>
    <t>Response code is 400 and message states search_product parameter is missing.</t>
  </si>
  <si>
    <t>API 6: POST To Search Product without search_product parameter</t>
  </si>
  <si>
    <t>TC-API-007</t>
  </si>
  <si>
    <t>AEQA-37</t>
  </si>
  <si>
    <t>Login Verification API</t>
  </si>
  <si>
    <t>Verify valid credentials</t>
  </si>
  <si>
    <t>Verify login API returns User exists for valid credentials</t>
  </si>
  <si>
    <t>A registered API test user exists.</t>
  </si>
  <si>
    <t>1. Send POST request to /api/verifyLogin with valid email/password.
2. Inspect response.</t>
  </si>
  <si>
    <t>Response code is 200 and message is 'User exists!'.</t>
  </si>
  <si>
    <t>API 7: POST To Verify Login with valid details</t>
  </si>
  <si>
    <t>TC-API-008</t>
  </si>
  <si>
    <t>Missing required credentials</t>
  </si>
  <si>
    <t>Verify login API returns 400 when email is missing</t>
  </si>
  <si>
    <t>1. Send POST request to /api/verifyLogin with password only.
2. Inspect response.</t>
  </si>
  <si>
    <t>Response code is 400 and message states email or password parameter is missing.</t>
  </si>
  <si>
    <t>API 8: POST To Verify Login without email parameter</t>
  </si>
  <si>
    <t>TC-API-009</t>
  </si>
  <si>
    <t>AC4</t>
  </si>
  <si>
    <t>Unsupported HTTP method</t>
  </si>
  <si>
    <t>Verify DELETE /api/verifyLogin is rejected</t>
  </si>
  <si>
    <t>1. Send DELETE request to /api/verifyLogin.
2. Inspect response.</t>
  </si>
  <si>
    <t>Method: DELETE
Endpoint: /api/verifyLogin</t>
  </si>
  <si>
    <t>API 9: DELETE To Verify Login</t>
  </si>
  <si>
    <t>TC-API-010</t>
  </si>
  <si>
    <t>Verify invalid credentials</t>
  </si>
  <si>
    <t>Verify login API returns user-not-found for invalid credentials</t>
  </si>
  <si>
    <t>1. Send POST request to /api/verifyLogin with invalid email/password.
2. Inspect response.</t>
  </si>
  <si>
    <t>Response code is 404 and message is 'User not found!'.</t>
  </si>
  <si>
    <t>API 10: POST To Verify Login with invalid details</t>
  </si>
  <si>
    <t>TC-API-011</t>
  </si>
  <si>
    <t>AEQA-38</t>
  </si>
  <si>
    <t>User Account APIs</t>
  </si>
  <si>
    <t>Create account</t>
  </si>
  <si>
    <t>Verify POST /api/createAccount creates a new user</t>
  </si>
  <si>
    <t>Email has not been registered before.</t>
  </si>
  <si>
    <t>1. Send POST request to /api/createAccount with all required account fields.
2. Inspect response.</t>
  </si>
  <si>
    <t>Response code is 201 and message is 'User created!'.</t>
  </si>
  <si>
    <t>API 11: POST To Create/Register User Account</t>
  </si>
  <si>
    <t>TC-API-012</t>
  </si>
  <si>
    <t>Retrieve account</t>
  </si>
  <si>
    <t>Verify GET /api/getUserDetailByEmail returns user detail</t>
  </si>
  <si>
    <t>API test account exists.</t>
  </si>
  <si>
    <t>1. Send GET request to /api/getUserDetailByEmail with registered email.
2. Inspect response.</t>
  </si>
  <si>
    <t>Response code is 200 and response contains the expected user detail.</t>
  </si>
  <si>
    <t>API 14: GET user account detail by email</t>
  </si>
  <si>
    <t>TC-API-013</t>
  </si>
  <si>
    <t>Update account</t>
  </si>
  <si>
    <t>Verify PUT /api/updateAccount updates an existing user</t>
  </si>
  <si>
    <t>1. Send PUT request to /api/updateAccount with required fields and changed data.
2. Inspect response.</t>
  </si>
  <si>
    <t>Response code is 200 and message is 'User updated!'.</t>
  </si>
  <si>
    <t>API 13: PUT METHOD To Update User Account</t>
  </si>
  <si>
    <t>TC-API-014</t>
  </si>
  <si>
    <t>Delete account</t>
  </si>
  <si>
    <t>Verify DELETE /api/deleteAccount deletes an existing user</t>
  </si>
  <si>
    <t>1. Send DELETE request to /api/deleteAccount with email/password.
2. Inspect response.</t>
  </si>
  <si>
    <t>Response code is 200 and message is 'Account deleted!'.</t>
  </si>
  <si>
    <t>API 12: DELETE METHOD To Delete User Account</t>
  </si>
  <si>
    <t>Key</t>
  </si>
  <si>
    <t>Issue Type</t>
  </si>
  <si>
    <t>Summary</t>
  </si>
  <si>
    <t>Review Status</t>
  </si>
  <si>
    <t>Notes</t>
  </si>
  <si>
    <t>OK</t>
  </si>
  <si>
    <t>Automation scope rule:
Yes = automate.
Later = automate after the main automation scope.
No = do not automate.
Priority: P1 → first, P2 → second, P3 → last</t>
  </si>
  <si>
    <t>If Status = Fail, review the related AC/source first. For AC Ref = Derived, confirm expected behavior before logging a Jira Bug.</t>
  </si>
  <si>
    <t>After manual execution, automate P1 first, then P2, then P3. Rows marked No remain manual-only.</t>
  </si>
  <si>
    <t>Use TD-REGISTER. Use a fresh TD-REGISTER Email (test001/test002/test003...).</t>
  </si>
  <si>
    <t>Use TD-EXISTING.</t>
  </si>
  <si>
    <t>Use TD-REGISTER, but leave Name blank. Use a fresh Email.</t>
  </si>
  <si>
    <t>Use TD-REGISTER Name; leave Email blank.</t>
  </si>
  <si>
    <t>Use TD-REGISTER Name + TD-NEGATIVE Invalid Email Format.</t>
  </si>
  <si>
    <t>Use TD-NEGATIVE Unregistered Email + TD-EXISTING Password.</t>
  </si>
  <si>
    <t>Use TD-EXISTING Email + TD-NEGATIVE Wrong Password.</t>
  </si>
  <si>
    <t>Leave Email blank + use TD-EXISTING Password.</t>
  </si>
  <si>
    <t>Use TD-EXISTING Email + leave Password blank.</t>
  </si>
  <si>
    <t>Use TD-REGISTER with the next fresh email. Keep these credentials for TC-AUTH-013.</t>
  </si>
  <si>
    <t>Use the disposable credentials created and deleted in TC-AUTH-012.</t>
  </si>
  <si>
    <t>Use TD-SEARCH Keyword 1.</t>
  </si>
  <si>
    <t>Use TD-SEARCH Keyword 2.</t>
  </si>
  <si>
    <t>Use TD-REVIEW.</t>
  </si>
  <si>
    <t>Use TD-REVIEW, but leave Email blank.</t>
  </si>
  <si>
    <t>Use TD-EXISTING + TD-SEARCH Keyword 1.</t>
  </si>
  <si>
    <t>Use TD-REGISTER with a fresh email + any available product.</t>
  </si>
  <si>
    <t>Use the TD-REGISTER address values used to create the account for this checkout flow.</t>
  </si>
  <si>
    <t>Use TD-ORDER Comment + TD-PAYMENT.</t>
  </si>
  <si>
    <t>Use TD-PAYMENT, but leave Card Number blank.</t>
  </si>
  <si>
    <t>Use TD-CONTACT + TD-FILE.</t>
  </si>
  <si>
    <t>Use TD-CONTACT.</t>
  </si>
  <si>
    <t>Use TD-CONTACT, but leave Email blank.</t>
  </si>
  <si>
    <t>Use TD-SUBSCRIPTION Home Email.</t>
  </si>
  <si>
    <t>Use TD-SUBSCRIPTION Cart Email.</t>
  </si>
  <si>
    <t>Leave subscription Email blank.</t>
  </si>
  <si>
    <t>Method: POST
Endpoint: /api/searchProduct
Use TD-SEARCH Keyword 1 as search_product.</t>
  </si>
  <si>
    <t>Method: POST
Endpoint: /api/verifyLogin
Use TD-EXISTING credentials.</t>
  </si>
  <si>
    <t>Method: POST
Endpoint: /api/verifyLogin
Email: omitted
Use TD-EXISTING Password.</t>
  </si>
  <si>
    <t>Method: POST
Endpoint: /api/verifyLogin
Use TD-NEGATIVE Unregistered Email + TD-NEGATIVE Wrong Password.</t>
  </si>
  <si>
    <t>Method: POST
Endpoint: /api/createAccount
Use TD-API with a fresh email + TD-REGISTER profile/address values.</t>
  </si>
  <si>
    <t>Method: GET
Endpoint: /api/getUserDetailByEmail
Use the email created by TC-API-011.</t>
  </si>
  <si>
    <t>Method: PUT
Endpoint: /api/updateAccount
Use the account from TC-API-011 + TD-API Updated Company + TD-REGISTER profile/address values.</t>
  </si>
  <si>
    <t>Method: DELETE
Endpoint: /api/deleteAccount
Use credentials from TC-API-011.</t>
  </si>
  <si>
    <t>Reusable Test Data - Final Version</t>
  </si>
  <si>
    <t>Use these values for manual testing. For a new account, change only the numeric suffix when an email is already used.</t>
  </si>
  <si>
    <t>Data Set</t>
  </si>
  <si>
    <t>Field</t>
  </si>
  <si>
    <t>Simple Note</t>
  </si>
  <si>
    <t>TD-REGISTER</t>
  </si>
  <si>
    <t>Name</t>
  </si>
  <si>
    <t>Automation Tester</t>
  </si>
  <si>
    <t>Use for UI registration.</t>
  </si>
  <si>
    <t>Email</t>
  </si>
  <si>
    <t>qa.aeqa.test001@example.com</t>
  </si>
  <si>
    <t>Next new account: test002, test003, etc.</t>
  </si>
  <si>
    <t>Password</t>
  </si>
  <si>
    <t>Test@123</t>
  </si>
  <si>
    <t>Reusable UI test password.</t>
  </si>
  <si>
    <t>Title</t>
  </si>
  <si>
    <t>Mr</t>
  </si>
  <si>
    <t>Select a valid title.</t>
  </si>
  <si>
    <t>Birth Date</t>
  </si>
  <si>
    <t>Birth Month</t>
  </si>
  <si>
    <t>January</t>
  </si>
  <si>
    <t>Birth Year</t>
  </si>
  <si>
    <t>2000</t>
  </si>
  <si>
    <t>First Name</t>
  </si>
  <si>
    <t>Automation</t>
  </si>
  <si>
    <t>Last Name</t>
  </si>
  <si>
    <t>Tester</t>
  </si>
  <si>
    <t>Company</t>
  </si>
  <si>
    <t>QA Portfolio</t>
  </si>
  <si>
    <t>Address</t>
  </si>
  <si>
    <t>123 Test Street</t>
  </si>
  <si>
    <t>Fake test address.</t>
  </si>
  <si>
    <t>Address2</t>
  </si>
  <si>
    <t>Suite 1</t>
  </si>
  <si>
    <t>Optional UI field; useful for API profile data.</t>
  </si>
  <si>
    <t>Country</t>
  </si>
  <si>
    <t>Canada</t>
  </si>
  <si>
    <t>Choose Canada in the dropdown.</t>
  </si>
  <si>
    <t>State</t>
  </si>
  <si>
    <t>Test State</t>
  </si>
  <si>
    <t>City</t>
  </si>
  <si>
    <t>Test City</t>
  </si>
  <si>
    <t>Zipcode</t>
  </si>
  <si>
    <t>700000</t>
  </si>
  <si>
    <t>Mobile</t>
  </si>
  <si>
    <t>0900000000</t>
  </si>
  <si>
    <t>Fake test phone number.</t>
  </si>
  <si>
    <t>TD-EXISTING</t>
  </si>
  <si>
    <t>After registration succeeds, keep the actual registered email here.</t>
  </si>
  <si>
    <t>Password of the existing UI account.</t>
  </si>
  <si>
    <t>TD-PAYMENT</t>
  </si>
  <si>
    <t>Name on Card</t>
  </si>
  <si>
    <t>Test data only.</t>
  </si>
  <si>
    <t>Card Number</t>
  </si>
  <si>
    <t>4111111111111111</t>
  </si>
  <si>
    <t>Test data only; stored as text.</t>
  </si>
  <si>
    <t>CVC</t>
  </si>
  <si>
    <t>123</t>
  </si>
  <si>
    <t>Expiration Month</t>
  </si>
  <si>
    <t>12</t>
  </si>
  <si>
    <t>Expiration Year</t>
  </si>
  <si>
    <t>2030</t>
  </si>
  <si>
    <t>TD-ORDER</t>
  </si>
  <si>
    <t>Comment</t>
  </si>
  <si>
    <t>Portfolio checkout test</t>
  </si>
  <si>
    <t>Use for checkout comment.</t>
  </si>
  <si>
    <t>TD-CONTACT</t>
  </si>
  <si>
    <t>Use for Contact Us.</t>
  </si>
  <si>
    <t>qa.contact@example.com</t>
  </si>
  <si>
    <t>Subject</t>
  </si>
  <si>
    <t>QA Portfolio Test</t>
  </si>
  <si>
    <t>Message</t>
  </si>
  <si>
    <t>Manual test execution for QA portfolio.</t>
  </si>
  <si>
    <t>TD-SEARCH</t>
  </si>
  <si>
    <t>Keyword 1</t>
  </si>
  <si>
    <t>top</t>
  </si>
  <si>
    <t>Official API example and UI search keyword.</t>
  </si>
  <si>
    <t>Keyword 2</t>
  </si>
  <si>
    <t>jean</t>
  </si>
  <si>
    <t>TD-REVIEW</t>
  </si>
  <si>
    <t>Use for product review.</t>
  </si>
  <si>
    <t>qa.review@example.com</t>
  </si>
  <si>
    <t>Review</t>
  </si>
  <si>
    <t>Great practice product.</t>
  </si>
  <si>
    <t>TD-SUBSCRIPTION</t>
  </si>
  <si>
    <t>Home Email</t>
  </si>
  <si>
    <t>qa.subscription@example.com</t>
  </si>
  <si>
    <t>Use for Home page subscription.</t>
  </si>
  <si>
    <t>Cart Email</t>
  </si>
  <si>
    <t>qa.subscription2@example.com</t>
  </si>
  <si>
    <t>Use for Cart page subscription.</t>
  </si>
  <si>
    <t>TD-NEGATIVE</t>
  </si>
  <si>
    <t>Invalid Email Format</t>
  </si>
  <si>
    <t>testemail</t>
  </si>
  <si>
    <t>Use for format validation.</t>
  </si>
  <si>
    <t>Unregistered Email</t>
  </si>
  <si>
    <t>notregistered@example.com</t>
  </si>
  <si>
    <t>Use for invalid-login scenarios.</t>
  </si>
  <si>
    <t>Wrong Password</t>
  </si>
  <si>
    <t>Wrong@123</t>
  </si>
  <si>
    <t>Use with a valid or unregistered email when required.</t>
  </si>
  <si>
    <t>TD-API</t>
  </si>
  <si>
    <t>API Tester</t>
  </si>
  <si>
    <t>Use for API account lifecycle.</t>
  </si>
  <si>
    <t>qa.api.test001@example.com</t>
  </si>
  <si>
    <t>For next new API account: test002, test003, etc.</t>
  </si>
  <si>
    <t>Test@123456</t>
  </si>
  <si>
    <t>Updated Company</t>
  </si>
  <si>
    <t>QA Portfolio Updated</t>
  </si>
  <si>
    <t>Use in update-account test.</t>
  </si>
  <si>
    <t>Profile Fields</t>
  </si>
  <si>
    <t>Use TD-REGISTER profile/address values</t>
  </si>
  <si>
    <t>Map Address→address1 and Mobile→mobile_number for API requests.</t>
  </si>
  <si>
    <t>TD-FILE</t>
  </si>
  <si>
    <t>File Name</t>
  </si>
  <si>
    <t>sample.txt</t>
  </si>
  <si>
    <t>Create any small text file for Contact Us upload.</t>
  </si>
  <si>
    <t>4 Simple Rules</t>
  </si>
  <si>
    <t>New UI account</t>
  </si>
  <si>
    <t>Start with test001. If it already exists, use test002, test003, etc.</t>
  </si>
  <si>
    <t>Existing UI account</t>
  </si>
  <si>
    <t>After UI registration succeeds, keep that email in TD-EXISTING.</t>
  </si>
  <si>
    <t>New API account</t>
  </si>
  <si>
    <t>Use a fresh TD-API email for create → get → update → delete lifecycle.</t>
  </si>
  <si>
    <t>Real data</t>
  </si>
  <si>
    <t>Do not use your real email, phone number, address, or bank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</si>
</sst>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rgb="FF000000"/>
      <name val="Carlito"/>
    </font>
    <font>
      <b/>
      <sz val="16"/>
      <color rgb="FFFFFFFF"/>
      <name val="Carlito"/>
    </font>
    <font>
      <sz val="11"/>
      <color theme="1"/>
      <name val="Carlito"/>
    </font>
    <font>
      <b/>
      <sz val="11"/>
      <color rgb="FFFFFFFF"/>
      <name val="Carlito"/>
    </font>
    <font>
      <b/>
      <sz val="11"/>
      <color rgb="FF1F1F1F"/>
      <name val="Carlito"/>
    </font>
    <font>
      <sz val="11"/>
      <color rgb="FF333333"/>
      <name val="Carlito"/>
    </font>
    <font>
      <sz val="11"/>
      <color theme="1"/>
      <name val="Carlito"/>
    </font>
    <font>
      <b/>
      <sz val="14"/>
      <color rgb="FFFFFFFF"/>
      <name val="Carlito"/>
    </font>
    <font>
      <i/>
      <sz val="11"/>
      <color rgb="FF1F1F1F"/>
      <name val="Carlito"/>
    </font>
  </fonts>
  <fills count="9">
    <fill>
      <patternFill patternType="none"/>
    </fill>
    <fill>
      <patternFill patternType="gray125"/>
    </fill>
    <fill>
      <patternFill patternType="solid">
        <fgColor rgb="FF1F4E78"/>
      </patternFill>
    </fill>
    <fill>
      <patternFill patternType="solid">
        <fgColor rgb="FF2F75B5"/>
      </patternFill>
    </fill>
    <fill>
      <patternFill patternType="solid">
        <fgColor rgb="FFD9EAF7"/>
      </patternFill>
    </fill>
    <fill>
      <patternFill patternType="solid">
        <fgColor rgb="FFF3F6F9"/>
      </patternFill>
    </fill>
    <fill>
      <patternFill patternType="solid">
        <fgColor rgb="FFFFFFFF"/>
      </patternFill>
    </fill>
    <fill>
      <patternFill patternType="solid">
        <fgColor rgb="FF2E75B6"/>
      </patternFill>
    </fill>
    <fill>
      <patternFill patternType="solid">
        <fgColor rgb="FFEAF3F8"/>
      </patternFill>
    </fill>
  </fills>
  <borders count="7">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bottom/>
      <diagonal/>
    </border>
    <border>
      <left style="thin">
        <color rgb="FF44B3E1"/>
      </left>
      <right/>
      <top/>
      <bottom style="thin">
        <color rgb="FF5B9BD5"/>
      </bottom>
      <diagonal/>
    </border>
    <border>
      <left/>
      <right/>
      <top/>
      <bottom style="thin">
        <color rgb="FF5B9BD5"/>
      </bottom>
      <diagonal/>
    </border>
  </borders>
  <cellStyleXfs count="1">
    <xf numFmtId="0" fontId="0" fillId="0" borderId="0"/>
  </cellStyleXfs>
  <cellXfs count="43">
    <xf numFmtId="0" fontId="0" fillId="0" borderId="0" xfId="0" applyFont="1" applyAlignment="1"/>
    <xf numFmtId="0" fontId="2" fillId="0" borderId="0" xfId="0" applyFont="1" applyAlignment="1">
      <alignment vertical="top" wrapText="1"/>
    </xf>
    <xf numFmtId="0" fontId="3" fillId="3" borderId="0" xfId="0" applyFont="1" applyFill="1" applyAlignment="1">
      <alignment horizontal="center" vertical="center" wrapText="1"/>
    </xf>
    <xf numFmtId="0" fontId="4" fillId="4" borderId="0" xfId="0" applyFont="1" applyFill="1" applyAlignment="1">
      <alignment horizontal="left" vertical="top" wrapText="1"/>
    </xf>
    <xf numFmtId="0" fontId="3" fillId="3" borderId="0" xfId="0" applyFont="1" applyFill="1" applyAlignment="1">
      <alignment horizontal="center" vertical="top" wrapText="1"/>
    </xf>
    <xf numFmtId="0" fontId="2" fillId="6" borderId="0" xfId="0" applyFont="1" applyFill="1" applyAlignment="1">
      <alignment vertical="top" wrapText="1"/>
    </xf>
    <xf numFmtId="0" fontId="2" fillId="6" borderId="0" xfId="0" applyFont="1" applyFill="1" applyAlignment="1">
      <alignment vertical="top" wrapText="1"/>
    </xf>
    <xf numFmtId="0" fontId="6" fillId="6" borderId="0" xfId="0" applyFont="1" applyFill="1"/>
    <xf numFmtId="0" fontId="3" fillId="3" borderId="0" xfId="0" applyFont="1" applyFill="1" applyAlignment="1">
      <alignment horizontal="center" vertical="top" wrapText="1"/>
    </xf>
    <xf numFmtId="0" fontId="2" fillId="0" borderId="0" xfId="0" applyFont="1" applyAlignment="1">
      <alignment vertical="top" wrapText="1"/>
    </xf>
    <xf numFmtId="0" fontId="3" fillId="3" borderId="0" xfId="0" applyFont="1" applyFill="1" applyAlignment="1">
      <alignment horizontal="center" vertical="center" wrapText="1"/>
    </xf>
    <xf numFmtId="0" fontId="2" fillId="0" borderId="0" xfId="0" applyFont="1" applyAlignment="1">
      <alignment vertical="top" wrapText="1"/>
    </xf>
    <xf numFmtId="0" fontId="0" fillId="0" borderId="0" xfId="0" applyNumberFormat="1" applyFont="1" applyFill="1" applyBorder="1" applyAlignment="1">
      <alignment vertical="center" wrapText="1"/>
    </xf>
    <xf numFmtId="0" fontId="4" fillId="4" borderId="0" xfId="0" applyNumberFormat="1" applyFont="1" applyFill="1" applyBorder="1" applyAlignment="1">
      <alignment vertical="center" wrapText="1"/>
    </xf>
    <xf numFmtId="0" fontId="3" fillId="7" borderId="1" xfId="0" applyNumberFormat="1" applyFont="1" applyFill="1" applyBorder="1" applyAlignment="1">
      <alignment horizontal="center" vertical="center" wrapText="1"/>
    </xf>
    <xf numFmtId="0" fontId="3" fillId="7" borderId="2" xfId="0" applyNumberFormat="1" applyFont="1" applyFill="1" applyBorder="1" applyAlignment="1">
      <alignment horizontal="center" vertical="center" wrapText="1"/>
    </xf>
    <xf numFmtId="0" fontId="3" fillId="7" borderId="3" xfId="0" applyNumberFormat="1" applyFont="1" applyFill="1" applyBorder="1" applyAlignment="1">
      <alignment horizontal="center" vertical="center" wrapText="1"/>
    </xf>
    <xf numFmtId="0" fontId="4" fillId="8" borderId="1" xfId="0" applyNumberFormat="1" applyFont="1" applyFill="1" applyBorder="1" applyAlignment="1">
      <alignment vertical="center" wrapText="1"/>
    </xf>
    <xf numFmtId="0" fontId="0" fillId="8" borderId="2" xfId="0" applyNumberFormat="1" applyFont="1" applyFill="1" applyBorder="1" applyAlignment="1">
      <alignment vertical="center" wrapText="1"/>
    </xf>
    <xf numFmtId="0" fontId="0" fillId="8" borderId="3" xfId="0" applyNumberFormat="1" applyFont="1" applyFill="1" applyBorder="1" applyAlignment="1">
      <alignment vertical="center" wrapText="1"/>
    </xf>
    <xf numFmtId="0" fontId="2" fillId="8" borderId="4" xfId="0" applyNumberFormat="1" applyFont="1" applyFill="1" applyBorder="1" applyAlignment="1">
      <alignment vertical="center" wrapText="1"/>
    </xf>
    <xf numFmtId="0" fontId="2" fillId="8" borderId="0" xfId="0" applyNumberFormat="1" applyFont="1" applyFill="1" applyAlignment="1">
      <alignment vertical="center" wrapText="1"/>
    </xf>
    <xf numFmtId="0" fontId="0" fillId="8" borderId="0" xfId="0" applyNumberFormat="1" applyFont="1" applyFill="1" applyAlignment="1">
      <alignment vertical="center" wrapText="1"/>
    </xf>
    <xf numFmtId="0" fontId="0" fillId="8" borderId="4" xfId="0" applyNumberFormat="1" applyFont="1" applyFill="1" applyBorder="1" applyAlignment="1">
      <alignment vertical="center" wrapText="1"/>
    </xf>
    <xf numFmtId="0" fontId="0" fillId="8" borderId="5" xfId="0" applyNumberFormat="1" applyFont="1" applyFill="1" applyBorder="1" applyAlignment="1">
      <alignment vertical="center" wrapText="1"/>
    </xf>
    <xf numFmtId="0" fontId="0" fillId="8" borderId="6" xfId="0" applyNumberFormat="1" applyFont="1" applyFill="1" applyBorder="1" applyAlignment="1">
      <alignment vertical="center" wrapText="1"/>
    </xf>
    <xf numFmtId="49" fontId="0" fillId="8" borderId="2" xfId="0" applyNumberFormat="1" applyFont="1" applyFill="1" applyBorder="1" applyAlignment="1">
      <alignment vertical="center" wrapText="1"/>
    </xf>
    <xf numFmtId="49" fontId="2" fillId="8" borderId="0" xfId="0" applyNumberFormat="1" applyFont="1" applyFill="1" applyAlignment="1">
      <alignment vertical="center" wrapText="1"/>
    </xf>
    <xf numFmtId="49" fontId="0" fillId="8" borderId="0" xfId="0" applyNumberFormat="1" applyFont="1" applyFill="1" applyAlignment="1">
      <alignment vertical="center" wrapText="1"/>
    </xf>
    <xf numFmtId="49" fontId="0" fillId="8" borderId="6" xfId="0" applyNumberFormat="1" applyFont="1" applyFill="1" applyBorder="1" applyAlignment="1">
      <alignment vertical="center" wrapText="1"/>
    </xf>
    <xf numFmtId="0" fontId="1" fillId="2" borderId="0" xfId="0" applyFont="1" applyFill="1" applyAlignment="1">
      <alignment horizontal="left" vertical="top" wrapText="1"/>
    </xf>
    <xf numFmtId="0" fontId="0" fillId="0" borderId="0" xfId="0" applyFont="1" applyAlignment="1"/>
    <xf numFmtId="0" fontId="4" fillId="4" borderId="0" xfId="0" applyFont="1" applyFill="1" applyAlignment="1">
      <alignment horizontal="left" vertical="top" wrapText="1"/>
    </xf>
    <xf numFmtId="0" fontId="4" fillId="6" borderId="0" xfId="0" applyFont="1" applyFill="1" applyAlignment="1">
      <alignment horizontal="left" vertical="top" wrapText="1"/>
    </xf>
    <xf numFmtId="0" fontId="5" fillId="5" borderId="0" xfId="0" applyFont="1" applyFill="1" applyAlignment="1">
      <alignment vertical="top" wrapText="1"/>
    </xf>
    <xf numFmtId="0" fontId="2" fillId="0" borderId="0" xfId="0" applyNumberFormat="1" applyFont="1" applyFill="1" applyBorder="1" applyAlignment="1">
      <alignment vertical="top" wrapText="1"/>
    </xf>
    <xf numFmtId="0" fontId="4" fillId="6" borderId="0" xfId="0" applyFont="1" applyFill="1" applyAlignment="1">
      <alignment horizontal="left" vertical="center" wrapText="1"/>
    </xf>
    <xf numFmtId="0" fontId="7" fillId="2" borderId="0" xfId="0" applyNumberFormat="1" applyFont="1" applyFill="1" applyBorder="1" applyAlignment="1">
      <alignment horizontal="left" vertical="center" wrapText="1"/>
    </xf>
    <xf numFmtId="0" fontId="7" fillId="2" borderId="0" xfId="0" applyNumberFormat="1" applyFont="1" applyFill="1" applyBorder="1" applyAlignment="1">
      <alignment vertical="center" wrapText="1"/>
    </xf>
    <xf numFmtId="0" fontId="8" fillId="4" borderId="0" xfId="0" applyNumberFormat="1" applyFont="1" applyFill="1" applyBorder="1" applyAlignment="1">
      <alignment vertical="center" wrapText="1"/>
    </xf>
    <xf numFmtId="0" fontId="4" fillId="8" borderId="4" xfId="0" applyNumberFormat="1" applyFont="1" applyFill="1" applyBorder="1" applyAlignment="1">
      <alignment vertical="center" wrapText="1"/>
    </xf>
    <xf numFmtId="0" fontId="0" fillId="8" borderId="0" xfId="0" applyNumberFormat="1" applyFont="1" applyFill="1" applyAlignment="1">
      <alignment vertical="center" wrapText="1"/>
    </xf>
    <xf numFmtId="49" fontId="0" fillId="8" borderId="0" xfId="0" applyNumberFormat="1" applyFont="1" applyFill="1" applyAlignment="1">
      <alignment vertical="center" wrapText="1"/>
    </xf>
  </cellXfs>
  <cellStyles count="1">
    <cellStyle name="Normal" xfId="0" builtinId="0"/>
  </cellStyles>
  <dxfs count="50">
    <dxf>
      <font>
        <b/>
        <color rgb="FF7F6000"/>
      </font>
      <fill>
        <patternFill>
          <bgColor rgb="FFFFF2CC"/>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EpicSummaryTable" displayName="EpicSummaryTable" ref="A12:K19">
  <tableColumns count="11">
    <tableColumn id="1" xr3:uid="{00000000-0010-0000-0000-000001000000}" name="Epic ID"/>
    <tableColumn id="2" xr3:uid="{00000000-0010-0000-0000-000002000000}" name="Epic"/>
    <tableColumn id="3" xr3:uid="{00000000-0010-0000-0000-000003000000}" name="Sheet"/>
    <tableColumn id="4" xr3:uid="{00000000-0010-0000-0000-000004000000}" name="Test Cases"/>
    <tableColumn id="5" xr3:uid="{00000000-0010-0000-0000-000005000000}" name="Auto Yes"/>
    <tableColumn id="6" xr3:uid="{00000000-0010-0000-0000-000006000000}" name="Auto Later"/>
    <tableColumn id="7" xr3:uid="{00000000-0010-0000-0000-000007000000}" name="Auto No"/>
    <tableColumn id="8" xr3:uid="{00000000-0010-0000-0000-000008000000}" name="Not Run"/>
    <tableColumn id="9" xr3:uid="{00000000-0010-0000-0000-000009000000}" name="Pass"/>
    <tableColumn id="10" xr3:uid="{00000000-0010-0000-0000-00000A000000}" name="Fail"/>
    <tableColumn id="11" xr3:uid="{00000000-0010-0000-0000-00000B000000}" name="Blocked"/>
  </tableColumns>
  <tableStyleInfo name="00_Overview-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uthCases" displayName="AuthCases" ref="A1:V14">
  <tableColumns count="22">
    <tableColumn id="1" xr3:uid="{00000000-0010-0000-0100-000001000000}" name="Test Case ID"/>
    <tableColumn id="2" xr3:uid="{00000000-0010-0000-0100-000002000000}" name="Epic ID"/>
    <tableColumn id="3" xr3:uid="{00000000-0010-0000-0100-000003000000}" name="Epic"/>
    <tableColumn id="4" xr3:uid="{00000000-0010-0000-0100-000004000000}" name="Story ID"/>
    <tableColumn id="5" xr3:uid="{00000000-0010-0000-0100-000005000000}" name="Story"/>
    <tableColumn id="6" xr3:uid="{00000000-0010-0000-0100-000006000000}" name="AC Ref"/>
    <tableColumn id="7" xr3:uid="{00000000-0010-0000-0100-000007000000}" name="Scenario"/>
    <tableColumn id="8" xr3:uid="{00000000-0010-0000-0100-000008000000}" name="Test Case Title"/>
    <tableColumn id="9" xr3:uid="{00000000-0010-0000-0100-000009000000}" name="Precondition"/>
    <tableColumn id="10" xr3:uid="{00000000-0010-0000-0100-00000A000000}" name="Test Steps"/>
    <tableColumn id="11" xr3:uid="{00000000-0010-0000-0100-00000B000000}" name="Test Data"/>
    <tableColumn id="12" xr3:uid="{00000000-0010-0000-0100-00000C000000}" name="Expected Result"/>
    <tableColumn id="13" xr3:uid="{00000000-0010-0000-0100-00000D000000}" name="Actual Result"/>
    <tableColumn id="14" xr3:uid="{00000000-0010-0000-0100-00000E000000}" name="Status"/>
    <tableColumn id="15" xr3:uid="{00000000-0010-0000-0100-00000F000000}" name="Priority"/>
    <tableColumn id="16" xr3:uid="{00000000-0010-0000-0100-000010000000}" name="Test Type"/>
    <tableColumn id="17" xr3:uid="{00000000-0010-0000-0100-000011000000}" name="Automation Candidate"/>
    <tableColumn id="18" xr3:uid="{00000000-0010-0000-0100-000012000000}" name="Auto Priority"/>
    <tableColumn id="19" xr3:uid="{00000000-0010-0000-0100-000013000000}" name="Bug ID"/>
    <tableColumn id="20" xr3:uid="{00000000-0010-0000-0100-000014000000}" name="Evidence / Notes"/>
    <tableColumn id="21" xr3:uid="{00000000-0010-0000-0100-000015000000}" name="Source Case"/>
    <tableColumn id="22" xr3:uid="{00000000-0010-0000-0100-000016000000}" name="Source URL"/>
  </tableColumns>
  <tableStyleInfo name="01_Authentication-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ProductCases" displayName="ProductCases" ref="A1:V15">
  <tableColumns count="22">
    <tableColumn id="1" xr3:uid="{00000000-0010-0000-0200-000001000000}" name="Test Case ID"/>
    <tableColumn id="2" xr3:uid="{00000000-0010-0000-0200-000002000000}" name="Epic ID"/>
    <tableColumn id="3" xr3:uid="{00000000-0010-0000-0200-000003000000}" name="Epic"/>
    <tableColumn id="4" xr3:uid="{00000000-0010-0000-0200-000004000000}" name="Story ID"/>
    <tableColumn id="5" xr3:uid="{00000000-0010-0000-0200-000005000000}" name="Story"/>
    <tableColumn id="6" xr3:uid="{00000000-0010-0000-0200-000006000000}" name="AC Ref"/>
    <tableColumn id="7" xr3:uid="{00000000-0010-0000-0200-000007000000}" name="Scenario"/>
    <tableColumn id="8" xr3:uid="{00000000-0010-0000-0200-000008000000}" name="Test Case Title"/>
    <tableColumn id="9" xr3:uid="{00000000-0010-0000-0200-000009000000}" name="Precondition"/>
    <tableColumn id="10" xr3:uid="{00000000-0010-0000-0200-00000A000000}" name="Test Steps"/>
    <tableColumn id="11" xr3:uid="{00000000-0010-0000-0200-00000B000000}" name="Test Data"/>
    <tableColumn id="12" xr3:uid="{00000000-0010-0000-0200-00000C000000}" name="Expected Result"/>
    <tableColumn id="13" xr3:uid="{00000000-0010-0000-0200-00000D000000}" name="Actual Result"/>
    <tableColumn id="14" xr3:uid="{00000000-0010-0000-0200-00000E000000}" name="Status"/>
    <tableColumn id="15" xr3:uid="{00000000-0010-0000-0200-00000F000000}" name="Priority"/>
    <tableColumn id="16" xr3:uid="{00000000-0010-0000-0200-000010000000}" name="Test Type"/>
    <tableColumn id="17" xr3:uid="{00000000-0010-0000-0200-000011000000}" name="Automation Candidate"/>
    <tableColumn id="18" xr3:uid="{00000000-0010-0000-0200-000012000000}" name="Auto Priority"/>
    <tableColumn id="19" xr3:uid="{00000000-0010-0000-0200-000013000000}" name="Bug ID"/>
    <tableColumn id="20" xr3:uid="{00000000-0010-0000-0200-000014000000}" name="Evidence / Notes"/>
    <tableColumn id="21" xr3:uid="{00000000-0010-0000-0200-000015000000}" name="Source Case"/>
    <tableColumn id="22" xr3:uid="{00000000-0010-0000-0200-000016000000}" name="Source URL"/>
  </tableColumns>
  <tableStyleInfo name="02_Produc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tCases" displayName="CartCases" ref="A1:V9">
  <tableColumns count="22">
    <tableColumn id="1" xr3:uid="{00000000-0010-0000-0300-000001000000}" name="Test Case ID"/>
    <tableColumn id="2" xr3:uid="{00000000-0010-0000-0300-000002000000}" name="Epic ID"/>
    <tableColumn id="3" xr3:uid="{00000000-0010-0000-0300-000003000000}" name="Epic"/>
    <tableColumn id="4" xr3:uid="{00000000-0010-0000-0300-000004000000}" name="Story ID"/>
    <tableColumn id="5" xr3:uid="{00000000-0010-0000-0300-000005000000}" name="Story"/>
    <tableColumn id="6" xr3:uid="{00000000-0010-0000-0300-000006000000}" name="AC Ref"/>
    <tableColumn id="7" xr3:uid="{00000000-0010-0000-0300-000007000000}" name="Scenario"/>
    <tableColumn id="8" xr3:uid="{00000000-0010-0000-0300-000008000000}" name="Test Case Title"/>
    <tableColumn id="9" xr3:uid="{00000000-0010-0000-0300-000009000000}" name="Precondition"/>
    <tableColumn id="10" xr3:uid="{00000000-0010-0000-0300-00000A000000}" name="Test Steps"/>
    <tableColumn id="11" xr3:uid="{00000000-0010-0000-0300-00000B000000}" name="Test Data"/>
    <tableColumn id="12" xr3:uid="{00000000-0010-0000-0300-00000C000000}" name="Expected Result"/>
    <tableColumn id="13" xr3:uid="{00000000-0010-0000-0300-00000D000000}" name="Actual Result"/>
    <tableColumn id="14" xr3:uid="{00000000-0010-0000-0300-00000E000000}" name="Status"/>
    <tableColumn id="15" xr3:uid="{00000000-0010-0000-0300-00000F000000}" name="Priority"/>
    <tableColumn id="16" xr3:uid="{00000000-0010-0000-0300-000010000000}" name="Test Type"/>
    <tableColumn id="17" xr3:uid="{00000000-0010-0000-0300-000011000000}" name="Automation Candidate"/>
    <tableColumn id="18" xr3:uid="{00000000-0010-0000-0300-000012000000}" name="Auto Priority"/>
    <tableColumn id="19" xr3:uid="{00000000-0010-0000-0300-000013000000}" name="Bug ID"/>
    <tableColumn id="20" xr3:uid="{00000000-0010-0000-0300-000014000000}" name="Evidence / Notes"/>
    <tableColumn id="21" xr3:uid="{00000000-0010-0000-0300-000015000000}" name="Source Case"/>
    <tableColumn id="22" xr3:uid="{00000000-0010-0000-0300-000016000000}" name="Source URL"/>
  </tableColumns>
  <tableStyleInfo name="03_Ca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CheckoutCases" displayName="CheckoutCases" ref="A1:V9">
  <tableColumns count="22">
    <tableColumn id="1" xr3:uid="{00000000-0010-0000-0400-000001000000}" name="Test Case ID"/>
    <tableColumn id="2" xr3:uid="{00000000-0010-0000-0400-000002000000}" name="Epic ID"/>
    <tableColumn id="3" xr3:uid="{00000000-0010-0000-0400-000003000000}" name="Epic"/>
    <tableColumn id="4" xr3:uid="{00000000-0010-0000-0400-000004000000}" name="Story ID"/>
    <tableColumn id="5" xr3:uid="{00000000-0010-0000-0400-000005000000}" name="Story"/>
    <tableColumn id="6" xr3:uid="{00000000-0010-0000-0400-000006000000}" name="AC Ref"/>
    <tableColumn id="7" xr3:uid="{00000000-0010-0000-0400-000007000000}" name="Scenario"/>
    <tableColumn id="8" xr3:uid="{00000000-0010-0000-0400-000008000000}" name="Test Case Title"/>
    <tableColumn id="9" xr3:uid="{00000000-0010-0000-0400-000009000000}" name="Precondition"/>
    <tableColumn id="10" xr3:uid="{00000000-0010-0000-0400-00000A000000}" name="Test Steps"/>
    <tableColumn id="11" xr3:uid="{00000000-0010-0000-0400-00000B000000}" name="Test Data"/>
    <tableColumn id="12" xr3:uid="{00000000-0010-0000-0400-00000C000000}" name="Expected Result"/>
    <tableColumn id="13" xr3:uid="{00000000-0010-0000-0400-00000D000000}" name="Actual Result"/>
    <tableColumn id="14" xr3:uid="{00000000-0010-0000-0400-00000E000000}" name="Status"/>
    <tableColumn id="15" xr3:uid="{00000000-0010-0000-0400-00000F000000}" name="Priority"/>
    <tableColumn id="16" xr3:uid="{00000000-0010-0000-0400-000010000000}" name="Test Type"/>
    <tableColumn id="17" xr3:uid="{00000000-0010-0000-0400-000011000000}" name="Automation Candidate"/>
    <tableColumn id="18" xr3:uid="{00000000-0010-0000-0400-000012000000}" name="Auto Priority"/>
    <tableColumn id="19" xr3:uid="{00000000-0010-0000-0400-000013000000}" name="Bug ID"/>
    <tableColumn id="20" xr3:uid="{00000000-0010-0000-0400-000014000000}" name="Evidence / Notes"/>
    <tableColumn id="21" xr3:uid="{00000000-0010-0000-0400-000015000000}" name="Source Case"/>
    <tableColumn id="22" xr3:uid="{00000000-0010-0000-0400-000016000000}" name="Source URL"/>
  </tableColumns>
  <tableStyleInfo name="04_Checkout-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SupportCases" displayName="SupportCases" ref="A1:V7">
  <tableColumns count="22">
    <tableColumn id="1" xr3:uid="{00000000-0010-0000-0500-000001000000}" name="Test Case ID"/>
    <tableColumn id="2" xr3:uid="{00000000-0010-0000-0500-000002000000}" name="Epic ID"/>
    <tableColumn id="3" xr3:uid="{00000000-0010-0000-0500-000003000000}" name="Epic"/>
    <tableColumn id="4" xr3:uid="{00000000-0010-0000-0500-000004000000}" name="Story ID"/>
    <tableColumn id="5" xr3:uid="{00000000-0010-0000-0500-000005000000}" name="Story"/>
    <tableColumn id="6" xr3:uid="{00000000-0010-0000-0500-000006000000}" name="AC Ref"/>
    <tableColumn id="7" xr3:uid="{00000000-0010-0000-0500-000007000000}" name="Scenario"/>
    <tableColumn id="8" xr3:uid="{00000000-0010-0000-0500-000008000000}" name="Test Case Title"/>
    <tableColumn id="9" xr3:uid="{00000000-0010-0000-0500-000009000000}" name="Precondition"/>
    <tableColumn id="10" xr3:uid="{00000000-0010-0000-0500-00000A000000}" name="Test Steps"/>
    <tableColumn id="11" xr3:uid="{00000000-0010-0000-0500-00000B000000}" name="Test Data"/>
    <tableColumn id="12" xr3:uid="{00000000-0010-0000-0500-00000C000000}" name="Expected Result"/>
    <tableColumn id="13" xr3:uid="{00000000-0010-0000-0500-00000D000000}" name="Actual Result"/>
    <tableColumn id="14" xr3:uid="{00000000-0010-0000-0500-00000E000000}" name="Status"/>
    <tableColumn id="15" xr3:uid="{00000000-0010-0000-0500-00000F000000}" name="Priority"/>
    <tableColumn id="16" xr3:uid="{00000000-0010-0000-0500-000010000000}" name="Test Type"/>
    <tableColumn id="17" xr3:uid="{00000000-0010-0000-0500-000011000000}" name="Automation Candidate"/>
    <tableColumn id="18" xr3:uid="{00000000-0010-0000-0500-000012000000}" name="Auto Priority"/>
    <tableColumn id="19" xr3:uid="{00000000-0010-0000-0500-000013000000}" name="Bug ID"/>
    <tableColumn id="20" xr3:uid="{00000000-0010-0000-0500-000014000000}" name="Evidence / Notes"/>
    <tableColumn id="21" xr3:uid="{00000000-0010-0000-0500-000015000000}" name="Source Case"/>
    <tableColumn id="22" xr3:uid="{00000000-0010-0000-0500-000016000000}" name="Source URL"/>
  </tableColumns>
  <tableStyleInfo name="05_Sup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NavigationCases" displayName="NavigationCases" ref="A1:V6">
  <tableColumns count="22">
    <tableColumn id="1" xr3:uid="{00000000-0010-0000-0600-000001000000}" name="Test Case ID"/>
    <tableColumn id="2" xr3:uid="{00000000-0010-0000-0600-000002000000}" name="Epic ID"/>
    <tableColumn id="3" xr3:uid="{00000000-0010-0000-0600-000003000000}" name="Epic"/>
    <tableColumn id="4" xr3:uid="{00000000-0010-0000-0600-000004000000}" name="Story ID"/>
    <tableColumn id="5" xr3:uid="{00000000-0010-0000-0600-000005000000}" name="Story"/>
    <tableColumn id="6" xr3:uid="{00000000-0010-0000-0600-000006000000}" name="AC Ref"/>
    <tableColumn id="7" xr3:uid="{00000000-0010-0000-0600-000007000000}" name="Scenario"/>
    <tableColumn id="8" xr3:uid="{00000000-0010-0000-0600-000008000000}" name="Test Case Title"/>
    <tableColumn id="9" xr3:uid="{00000000-0010-0000-0600-000009000000}" name="Precondition"/>
    <tableColumn id="10" xr3:uid="{00000000-0010-0000-0600-00000A000000}" name="Test Steps"/>
    <tableColumn id="11" xr3:uid="{00000000-0010-0000-0600-00000B000000}" name="Test Data"/>
    <tableColumn id="12" xr3:uid="{00000000-0010-0000-0600-00000C000000}" name="Expected Result"/>
    <tableColumn id="13" xr3:uid="{00000000-0010-0000-0600-00000D000000}" name="Actual Result"/>
    <tableColumn id="14" xr3:uid="{00000000-0010-0000-0600-00000E000000}" name="Status"/>
    <tableColumn id="15" xr3:uid="{00000000-0010-0000-0600-00000F000000}" name="Priority"/>
    <tableColumn id="16" xr3:uid="{00000000-0010-0000-0600-000010000000}" name="Test Type"/>
    <tableColumn id="17" xr3:uid="{00000000-0010-0000-0600-000011000000}" name="Automation Candidate"/>
    <tableColumn id="18" xr3:uid="{00000000-0010-0000-0600-000012000000}" name="Auto Priority"/>
    <tableColumn id="19" xr3:uid="{00000000-0010-0000-0600-000013000000}" name="Bug ID"/>
    <tableColumn id="20" xr3:uid="{00000000-0010-0000-0600-000014000000}" name="Evidence / Notes"/>
    <tableColumn id="21" xr3:uid="{00000000-0010-0000-0600-000015000000}" name="Source Case"/>
    <tableColumn id="22" xr3:uid="{00000000-0010-0000-0600-000016000000}" name="Source URL"/>
  </tableColumns>
  <tableStyleInfo name="06_Navigation-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piCases" displayName="ApiCases" ref="A1:V15">
  <tableColumns count="22">
    <tableColumn id="1" xr3:uid="{00000000-0010-0000-0700-000001000000}" name="Test Case ID"/>
    <tableColumn id="2" xr3:uid="{00000000-0010-0000-0700-000002000000}" name="Epic ID"/>
    <tableColumn id="3" xr3:uid="{00000000-0010-0000-0700-000003000000}" name="Epic"/>
    <tableColumn id="4" xr3:uid="{00000000-0010-0000-0700-000004000000}" name="Story ID"/>
    <tableColumn id="5" xr3:uid="{00000000-0010-0000-0700-000005000000}" name="Story"/>
    <tableColumn id="6" xr3:uid="{00000000-0010-0000-0700-000006000000}" name="AC Ref"/>
    <tableColumn id="7" xr3:uid="{00000000-0010-0000-0700-000007000000}" name="Scenario"/>
    <tableColumn id="8" xr3:uid="{00000000-0010-0000-0700-000008000000}" name="Test Case Title"/>
    <tableColumn id="9" xr3:uid="{00000000-0010-0000-0700-000009000000}" name="Precondition"/>
    <tableColumn id="10" xr3:uid="{00000000-0010-0000-0700-00000A000000}" name="Test Steps"/>
    <tableColumn id="11" xr3:uid="{00000000-0010-0000-0700-00000B000000}" name="Test Data"/>
    <tableColumn id="12" xr3:uid="{00000000-0010-0000-0700-00000C000000}" name="Expected Result"/>
    <tableColumn id="13" xr3:uid="{00000000-0010-0000-0700-00000D000000}" name="Actual Result"/>
    <tableColumn id="14" xr3:uid="{00000000-0010-0000-0700-00000E000000}" name="Status"/>
    <tableColumn id="15" xr3:uid="{00000000-0010-0000-0700-00000F000000}" name="Priority"/>
    <tableColumn id="16" xr3:uid="{00000000-0010-0000-0700-000010000000}" name="Test Type"/>
    <tableColumn id="17" xr3:uid="{00000000-0010-0000-0700-000011000000}" name="Automation Candidate"/>
    <tableColumn id="18" xr3:uid="{00000000-0010-0000-0700-000012000000}" name="Auto Priority"/>
    <tableColumn id="19" xr3:uid="{00000000-0010-0000-0700-000013000000}" name="Bug ID"/>
    <tableColumn id="20" xr3:uid="{00000000-0010-0000-0700-000014000000}" name="Evidence / Notes"/>
    <tableColumn id="21" xr3:uid="{00000000-0010-0000-0700-000015000000}" name="Source Case"/>
    <tableColumn id="22" xr3:uid="{00000000-0010-0000-0700-000016000000}" name="Source URL"/>
  </tableColumns>
  <tableStyleInfo name="07_AP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workbookViewId="0">
      <selection sqref="A1:K1"/>
    </sheetView>
  </sheetViews>
  <sheetFormatPr baseColWidth="10" defaultColWidth="12.6640625" defaultRowHeight="15"/>
  <cols>
    <col min="1" max="1" width="16" customWidth="1"/>
    <col min="2" max="2" width="48" customWidth="1"/>
    <col min="3" max="3" width="22" customWidth="1"/>
    <col min="4" max="4" width="28" customWidth="1"/>
    <col min="5" max="8" width="14" customWidth="1"/>
    <col min="9" max="11" width="12" customWidth="1"/>
    <col min="12" max="26" width="8.6640625" customWidth="1"/>
  </cols>
  <sheetData>
    <row r="1" spans="1:11" ht="37" customHeight="1">
      <c r="A1" s="30" t="s">
        <v>0</v>
      </c>
      <c r="B1" s="31"/>
      <c r="C1" s="31"/>
      <c r="D1" s="31"/>
      <c r="E1" s="31"/>
      <c r="F1" s="31"/>
      <c r="G1" s="31"/>
      <c r="H1" s="31"/>
      <c r="I1" s="31"/>
      <c r="J1" s="31"/>
      <c r="K1" s="31"/>
    </row>
    <row r="2" spans="1:11">
      <c r="A2" s="1"/>
      <c r="B2" s="1"/>
      <c r="C2" s="1"/>
      <c r="D2" s="1"/>
      <c r="E2" s="1"/>
      <c r="F2" s="1"/>
      <c r="G2" s="1"/>
      <c r="H2" s="1"/>
      <c r="I2" s="1"/>
      <c r="J2" s="1"/>
      <c r="K2" s="1"/>
    </row>
    <row r="3" spans="1:11" ht="16">
      <c r="A3" s="3" t="s">
        <v>1</v>
      </c>
      <c r="B3" s="1" t="s">
        <v>2</v>
      </c>
      <c r="C3" s="1"/>
      <c r="D3" s="4" t="s">
        <v>3</v>
      </c>
      <c r="E3" s="4" t="s">
        <v>4</v>
      </c>
      <c r="F3" s="1"/>
      <c r="G3" s="34" t="s">
        <v>610</v>
      </c>
      <c r="H3" s="31"/>
      <c r="I3" s="31"/>
      <c r="J3" s="31"/>
      <c r="K3" s="31"/>
    </row>
    <row r="4" spans="1:11" ht="32">
      <c r="A4" s="3" t="s">
        <v>5</v>
      </c>
      <c r="B4" s="1" t="s">
        <v>6</v>
      </c>
      <c r="C4" s="1"/>
      <c r="D4" s="1" t="s">
        <v>7</v>
      </c>
      <c r="E4" s="1">
        <f>COUNTA('01_Authentication'!$A$2:$A$200)+COUNTA('02_Products'!$A$2:$A$200)+COUNTA('03_Cart'!$A$2:$A$200)+COUNTA('04_Checkout'!$A$2:$A$200)+COUNTA('05_Support'!$A$2:$A$200)+COUNTA('06_Navigation'!$A$2:$A$200)+COUNTA('07_API'!$A$2:$A$200)</f>
        <v>68</v>
      </c>
      <c r="F4" s="1"/>
      <c r="G4" s="31"/>
      <c r="H4" s="31"/>
      <c r="I4" s="31"/>
      <c r="J4" s="31"/>
      <c r="K4" s="31"/>
    </row>
    <row r="5" spans="1:11" ht="32">
      <c r="A5" s="3" t="s">
        <v>8</v>
      </c>
      <c r="B5" s="1" t="s">
        <v>9</v>
      </c>
      <c r="C5" s="1"/>
      <c r="D5" s="1" t="s">
        <v>10</v>
      </c>
      <c r="E5" s="1">
        <f>COUNTIF('01_Authentication'!$Q$2:$Q$200,"Yes")+COUNTIF('02_Products'!$Q$2:$Q$200,"Yes")+COUNTIF('03_Cart'!$Q$2:$Q$200,"Yes")+COUNTIF('04_Checkout'!$Q$2:$Q$200,"Yes")+COUNTIF('05_Support'!$Q$2:$Q$200,"Yes")+COUNTIF('06_Navigation'!$Q$2:$Q$200,"Yes")+COUNTIF('07_API'!$Q$2:$Q$200,"Yes")</f>
        <v>37</v>
      </c>
      <c r="F5" s="1"/>
      <c r="G5" s="31"/>
      <c r="H5" s="31"/>
      <c r="I5" s="31"/>
      <c r="J5" s="31"/>
      <c r="K5" s="31"/>
    </row>
    <row r="6" spans="1:11" ht="18" customHeight="1">
      <c r="A6" s="3" t="s">
        <v>11</v>
      </c>
      <c r="B6" s="1" t="s">
        <v>12</v>
      </c>
      <c r="C6" s="1"/>
      <c r="D6" s="1" t="s">
        <v>13</v>
      </c>
      <c r="E6" s="1">
        <f>COUNTIF('01_Authentication'!$Q$2:$Q$200,"Later")+COUNTIF('02_Products'!$Q$2:$Q$200,"Later")+COUNTIF('03_Cart'!$Q$2:$Q$200,"Later")+COUNTIF('04_Checkout'!$Q$2:$Q$200,"Later")+COUNTIF('05_Support'!$Q$2:$Q$200,"Later")+COUNTIF('06_Navigation'!$Q$2:$Q$200,"Later")+COUNTIF('07_API'!$Q$2:$Q$200,"Later")</f>
        <v>28</v>
      </c>
      <c r="F6" s="1"/>
      <c r="G6" s="31"/>
      <c r="H6" s="31"/>
      <c r="I6" s="31"/>
      <c r="J6" s="31"/>
      <c r="K6" s="31"/>
    </row>
    <row r="7" spans="1:11" ht="16">
      <c r="A7" s="1"/>
      <c r="B7" s="1"/>
      <c r="C7" s="1"/>
      <c r="D7" s="1" t="s">
        <v>14</v>
      </c>
      <c r="E7" s="1">
        <f>COUNTIF('01_Authentication'!$Q$2:$Q$200,"No")+COUNTIF('02_Products'!$Q$2:$Q$200,"No")+COUNTIF('03_Cart'!$Q$2:$Q$200,"No")+COUNTIF('04_Checkout'!$Q$2:$Q$200,"No")+COUNTIF('05_Support'!$Q$2:$Q$200,"No")+COUNTIF('06_Navigation'!$Q$2:$Q$200,"No")+COUNTIF('07_API'!$Q$2:$Q$200,"No")</f>
        <v>3</v>
      </c>
      <c r="F7" s="1"/>
      <c r="G7" s="1"/>
      <c r="H7" s="1"/>
      <c r="I7" s="1"/>
      <c r="J7" s="1"/>
      <c r="K7" s="1"/>
    </row>
    <row r="8" spans="1:11" ht="16">
      <c r="A8" s="1"/>
      <c r="B8" s="1"/>
      <c r="C8" s="1"/>
      <c r="D8" s="1" t="s">
        <v>15</v>
      </c>
      <c r="E8" s="1">
        <f>COUNTIF('01_Authentication'!$N$2:$N$200,"Not Run")+COUNTIF('02_Products'!$N$2:$N$200,"Not Run")+COUNTIF('03_Cart'!$N$2:$N$200,"Not Run")+COUNTIF('04_Checkout'!$N$2:$N$200,"Not Run")+COUNTIF('05_Support'!$N$2:$N$200,"Not Run")+COUNTIF('06_Navigation'!$N$2:$N$200,"Not Run")+COUNTIF('07_API'!$N$2:$N$200,"Not Run")</f>
        <v>19</v>
      </c>
      <c r="F8" s="1"/>
      <c r="G8" s="1"/>
      <c r="H8" s="1"/>
      <c r="I8" s="1"/>
      <c r="J8" s="1"/>
      <c r="K8" s="1"/>
    </row>
    <row r="9" spans="1:11" ht="16">
      <c r="A9" s="1"/>
      <c r="B9" s="1"/>
      <c r="C9" s="1"/>
      <c r="D9" s="1" t="s">
        <v>16</v>
      </c>
      <c r="E9" s="1">
        <f>COUNTIF('01_Authentication'!$N$2:$N$200,"Fail")+COUNTIF('02_Products'!$N$2:$N$200,"Fail")+COUNTIF('03_Cart'!$N$2:$N$200,"Fail")+COUNTIF('04_Checkout'!$N$2:$N$200,"Fail")+COUNTIF('05_Support'!$N$2:$N$200,"Fail")+COUNTIF('06_Navigation'!$N$2:$N$200,"Fail")+COUNTIF('07_API'!$N$2:$N$200,"Fail")</f>
        <v>0</v>
      </c>
      <c r="F9" s="1"/>
      <c r="G9" s="1"/>
      <c r="H9" s="1"/>
      <c r="I9" s="1"/>
      <c r="J9" s="1"/>
      <c r="K9" s="1"/>
    </row>
    <row r="10" spans="1:11">
      <c r="A10" s="1"/>
      <c r="B10" s="1"/>
      <c r="C10" s="1"/>
      <c r="D10" s="1"/>
      <c r="E10" s="1"/>
      <c r="F10" s="1"/>
      <c r="G10" s="1"/>
      <c r="H10" s="1"/>
      <c r="I10" s="1"/>
      <c r="J10" s="1"/>
      <c r="K10" s="1"/>
    </row>
    <row r="11" spans="1:11">
      <c r="A11" s="1"/>
      <c r="B11" s="1"/>
      <c r="C11" s="1"/>
      <c r="D11" s="1"/>
      <c r="E11" s="1"/>
      <c r="F11" s="1"/>
      <c r="G11" s="1"/>
      <c r="H11" s="1"/>
      <c r="I11" s="1"/>
      <c r="J11" s="1"/>
      <c r="K11" s="1"/>
    </row>
    <row r="12" spans="1:11" ht="16">
      <c r="A12" s="8" t="s">
        <v>17</v>
      </c>
      <c r="B12" s="8" t="s">
        <v>18</v>
      </c>
      <c r="C12" s="8" t="s">
        <v>19</v>
      </c>
      <c r="D12" s="8" t="s">
        <v>20</v>
      </c>
      <c r="E12" s="8" t="s">
        <v>21</v>
      </c>
      <c r="F12" s="8" t="s">
        <v>22</v>
      </c>
      <c r="G12" s="8" t="s">
        <v>23</v>
      </c>
      <c r="H12" s="8" t="s">
        <v>24</v>
      </c>
      <c r="I12" s="8" t="s">
        <v>25</v>
      </c>
      <c r="J12" s="8" t="s">
        <v>26</v>
      </c>
      <c r="K12" s="8" t="s">
        <v>27</v>
      </c>
    </row>
    <row r="13" spans="1:11" ht="16">
      <c r="A13" s="9" t="s">
        <v>28</v>
      </c>
      <c r="B13" s="9" t="s">
        <v>29</v>
      </c>
      <c r="C13" s="9" t="s">
        <v>30</v>
      </c>
      <c r="D13" s="9">
        <f>COUNTA('01_Authentication'!$A$2:$A$200)</f>
        <v>13</v>
      </c>
      <c r="E13" s="9">
        <f>COUNTIF('01_Authentication'!$Q$2:$Q$200,"Yes")</f>
        <v>6</v>
      </c>
      <c r="F13" s="9">
        <f>COUNTIF('01_Authentication'!$Q$2:$Q$200,"Later")</f>
        <v>7</v>
      </c>
      <c r="G13" s="9">
        <f>COUNTIF('01_Authentication'!$Q$2:$Q$200,"No")</f>
        <v>0</v>
      </c>
      <c r="H13" s="9">
        <f>COUNTIF('01_Authentication'!$N$2:$N$200,"Not Run")</f>
        <v>0</v>
      </c>
      <c r="I13" s="9">
        <f>COUNTIF('01_Authentication'!$N$2:$N$200,"Pass")</f>
        <v>13</v>
      </c>
      <c r="J13" s="9">
        <f>COUNTIF('01_Authentication'!$N$2:$N$200,"Fail")</f>
        <v>0</v>
      </c>
      <c r="K13" s="9">
        <f>COUNTIF('01_Authentication'!$N$2:$N$200,"Blocked")</f>
        <v>0</v>
      </c>
    </row>
    <row r="14" spans="1:11" ht="16">
      <c r="A14" s="9" t="s">
        <v>31</v>
      </c>
      <c r="B14" s="9" t="s">
        <v>32</v>
      </c>
      <c r="C14" s="9" t="s">
        <v>33</v>
      </c>
      <c r="D14" s="9">
        <f>COUNTA('02_Products'!$A$2:$A$200)</f>
        <v>14</v>
      </c>
      <c r="E14" s="9">
        <f>COUNTIF('02_Products'!$Q$2:$Q$200,"Yes")</f>
        <v>5</v>
      </c>
      <c r="F14" s="9">
        <f>COUNTIF('02_Products'!$Q$2:$Q$200,"Later")</f>
        <v>9</v>
      </c>
      <c r="G14" s="9">
        <f>COUNTIF('02_Products'!$Q$2:$Q$200,"No")</f>
        <v>0</v>
      </c>
      <c r="H14" s="9">
        <f>COUNTIF('02_Products'!$N$2:$N$200,"Not Run")</f>
        <v>0</v>
      </c>
      <c r="I14" s="9">
        <f>COUNTIF('02_Products'!$N$2:$N$200,"Pass")</f>
        <v>14</v>
      </c>
      <c r="J14" s="9">
        <f>COUNTIF('02_Products'!$N$2:$N$200,"Fail")</f>
        <v>0</v>
      </c>
      <c r="K14" s="9">
        <f>COUNTIF('02_Products'!$N$2:$N$200,"Blocked")</f>
        <v>0</v>
      </c>
    </row>
    <row r="15" spans="1:11" ht="16">
      <c r="A15" s="9" t="s">
        <v>34</v>
      </c>
      <c r="B15" s="9" t="s">
        <v>35</v>
      </c>
      <c r="C15" s="9" t="s">
        <v>36</v>
      </c>
      <c r="D15" s="9">
        <f>COUNTA('03_Cart'!$A$2:$A$200)</f>
        <v>8</v>
      </c>
      <c r="E15" s="9">
        <f>COUNTIF('03_Cart'!$Q$2:$Q$200,"Yes")</f>
        <v>4</v>
      </c>
      <c r="F15" s="9">
        <f>COUNTIF('03_Cart'!$Q$2:$Q$200,"Later")</f>
        <v>4</v>
      </c>
      <c r="G15" s="9">
        <f>COUNTIF('03_Cart'!$Q$2:$Q$200,"No")</f>
        <v>0</v>
      </c>
      <c r="H15" s="9">
        <f>COUNTIF('03_Cart'!$N$2:$N$200,"Not Run")</f>
        <v>0</v>
      </c>
      <c r="I15" s="9">
        <f>COUNTIF('03_Cart'!$N$2:$N$200,"Pass")</f>
        <v>8</v>
      </c>
      <c r="J15" s="9">
        <f>COUNTIF('03_Cart'!$N$2:$N$200,"Fail")</f>
        <v>0</v>
      </c>
      <c r="K15" s="9">
        <f>COUNTIF('03_Cart'!$N$2:$N$200,"Blocked")</f>
        <v>0</v>
      </c>
    </row>
    <row r="16" spans="1:11" ht="16">
      <c r="A16" s="9" t="s">
        <v>37</v>
      </c>
      <c r="B16" s="9" t="s">
        <v>38</v>
      </c>
      <c r="C16" s="9" t="s">
        <v>39</v>
      </c>
      <c r="D16" s="9">
        <f>COUNTA('04_Checkout'!$A$2:$A$200)</f>
        <v>8</v>
      </c>
      <c r="E16" s="9">
        <f>COUNTIF('04_Checkout'!$Q$2:$Q$200,"Yes")</f>
        <v>5</v>
      </c>
      <c r="F16" s="9">
        <f>COUNTIF('04_Checkout'!$Q$2:$Q$200,"Later")</f>
        <v>3</v>
      </c>
      <c r="G16" s="9">
        <f>COUNTIF('04_Checkout'!$Q$2:$Q$200,"No")</f>
        <v>0</v>
      </c>
      <c r="H16" s="9">
        <f>COUNTIF('04_Checkout'!$N$2:$N$200,"Not Run")</f>
        <v>0</v>
      </c>
      <c r="I16" s="9">
        <f>COUNTIF('04_Checkout'!$N$2:$N$200,"Pass")</f>
        <v>8</v>
      </c>
      <c r="J16" s="9">
        <f>COUNTIF('04_Checkout'!$N$2:$N$200,"Fail")</f>
        <v>0</v>
      </c>
      <c r="K16" s="9">
        <f>COUNTIF('04_Checkout'!$N$2:$N$200,"Blocked")</f>
        <v>0</v>
      </c>
    </row>
    <row r="17" spans="1:11" ht="16">
      <c r="A17" s="9" t="s">
        <v>40</v>
      </c>
      <c r="B17" s="9" t="s">
        <v>41</v>
      </c>
      <c r="C17" s="9" t="s">
        <v>42</v>
      </c>
      <c r="D17" s="9">
        <f>COUNTA('05_Support'!$A$2:$A$200)</f>
        <v>6</v>
      </c>
      <c r="E17" s="9">
        <f>COUNTIF('05_Support'!$Q$2:$Q$200,"Yes")</f>
        <v>2</v>
      </c>
      <c r="F17" s="9">
        <f>COUNTIF('05_Support'!$Q$2:$Q$200,"Later")</f>
        <v>4</v>
      </c>
      <c r="G17" s="9">
        <f>COUNTIF('05_Support'!$Q$2:$Q$200,"No")</f>
        <v>0</v>
      </c>
      <c r="H17" s="9">
        <f>COUNTIF('05_Support'!$N$2:$N$200,"Not Run")</f>
        <v>0</v>
      </c>
      <c r="I17" s="9">
        <f>COUNTIF('05_Support'!$N$2:$N$200,"Pass")</f>
        <v>6</v>
      </c>
      <c r="J17" s="9">
        <f>COUNTIF('05_Support'!$N$2:$N$200,"Fail")</f>
        <v>0</v>
      </c>
      <c r="K17" s="9">
        <f>COUNTIF('05_Support'!$N$2:$N$200,"Blocked")</f>
        <v>0</v>
      </c>
    </row>
    <row r="18" spans="1:11" ht="16">
      <c r="A18" s="9" t="s">
        <v>43</v>
      </c>
      <c r="B18" s="9" t="s">
        <v>44</v>
      </c>
      <c r="C18" s="9" t="s">
        <v>45</v>
      </c>
      <c r="D18" s="9">
        <f>COUNTA('06_Navigation'!$A$2:$A$200)</f>
        <v>5</v>
      </c>
      <c r="E18" s="9">
        <f>COUNTIF('06_Navigation'!$Q$2:$Q$200,"Yes")</f>
        <v>1</v>
      </c>
      <c r="F18" s="9">
        <f>COUNTIF('06_Navigation'!$Q$2:$Q$200,"Later")</f>
        <v>1</v>
      </c>
      <c r="G18" s="9">
        <f>COUNTIF('06_Navigation'!$Q$2:$Q$200,"No")</f>
        <v>3</v>
      </c>
      <c r="H18" s="9">
        <f>COUNTIF('06_Navigation'!$N$2:$N$200,"Not Run")</f>
        <v>5</v>
      </c>
      <c r="I18" s="9">
        <f>COUNTIF('06_Navigation'!$N$2:$N$200,"Pass")</f>
        <v>0</v>
      </c>
      <c r="J18" s="9">
        <f>COUNTIF('06_Navigation'!$N$2:$N$200,"Fail")</f>
        <v>0</v>
      </c>
      <c r="K18" s="9">
        <f>COUNTIF('06_Navigation'!$N$2:$N$200,"Blocked")</f>
        <v>0</v>
      </c>
    </row>
    <row r="19" spans="1:11" ht="16">
      <c r="A19" s="9" t="s">
        <v>46</v>
      </c>
      <c r="B19" s="9" t="s">
        <v>47</v>
      </c>
      <c r="C19" s="9" t="s">
        <v>48</v>
      </c>
      <c r="D19" s="9">
        <f>COUNTA('07_API'!$A$2:$A$200)</f>
        <v>14</v>
      </c>
      <c r="E19" s="9">
        <f>COUNTIF('07_API'!$Q$2:$Q$200,"Yes")</f>
        <v>14</v>
      </c>
      <c r="F19" s="9">
        <f>COUNTIF('07_API'!$Q$2:$Q$200,"Later")</f>
        <v>0</v>
      </c>
      <c r="G19" s="9">
        <f>COUNTIF('07_API'!$Q$2:$Q$200,"No")</f>
        <v>0</v>
      </c>
      <c r="H19" s="9">
        <f>COUNTIF('07_API'!$N$2:$N$200,"Not Run")</f>
        <v>14</v>
      </c>
      <c r="I19" s="9">
        <f>COUNTIF('07_API'!$N$2:$N$200,"Pass")</f>
        <v>0</v>
      </c>
      <c r="J19" s="9">
        <f>COUNTIF('07_API'!$N$2:$N$200,"Fail")</f>
        <v>0</v>
      </c>
      <c r="K19" s="9">
        <f>COUNTIF('07_API'!$N$2:$N$200,"Blocked")</f>
        <v>0</v>
      </c>
    </row>
    <row r="20" spans="1:11">
      <c r="A20" s="1"/>
      <c r="B20" s="1"/>
      <c r="C20" s="1"/>
      <c r="D20" s="1"/>
      <c r="E20" s="1"/>
      <c r="F20" s="1"/>
      <c r="G20" s="1"/>
      <c r="H20" s="1"/>
      <c r="I20" s="1"/>
      <c r="J20" s="1"/>
      <c r="K20" s="1"/>
    </row>
    <row r="21" spans="1:11" ht="21" customHeight="1">
      <c r="A21" s="1"/>
      <c r="B21" s="1"/>
      <c r="C21" s="1"/>
      <c r="D21" s="1"/>
      <c r="E21" s="1"/>
      <c r="F21" s="1"/>
      <c r="G21" s="1"/>
      <c r="H21" s="1"/>
      <c r="I21" s="1"/>
      <c r="J21" s="1"/>
      <c r="K21" s="1"/>
    </row>
    <row r="22" spans="1:11" ht="21" customHeight="1">
      <c r="A22" s="32" t="s">
        <v>49</v>
      </c>
      <c r="B22" s="31"/>
      <c r="C22" s="31"/>
      <c r="D22" s="31"/>
      <c r="E22" s="31"/>
      <c r="F22" s="31"/>
      <c r="G22" s="31"/>
      <c r="H22" s="31"/>
      <c r="I22" s="31"/>
      <c r="J22" s="31"/>
      <c r="K22" s="31"/>
    </row>
    <row r="23" spans="1:11" ht="20" customHeight="1">
      <c r="A23" s="1" t="s">
        <v>50</v>
      </c>
      <c r="B23" s="35" t="s">
        <v>51</v>
      </c>
      <c r="C23" s="35"/>
      <c r="D23" s="35"/>
      <c r="E23" s="35"/>
      <c r="F23" s="35"/>
      <c r="G23" s="35"/>
      <c r="H23" s="35"/>
      <c r="I23" s="35"/>
      <c r="J23" s="35"/>
      <c r="K23" s="35"/>
    </row>
    <row r="24" spans="1:11" ht="20" customHeight="1">
      <c r="A24" s="1" t="s">
        <v>52</v>
      </c>
      <c r="B24" s="35" t="s">
        <v>53</v>
      </c>
      <c r="C24" s="35"/>
      <c r="D24" s="35"/>
      <c r="E24" s="35"/>
      <c r="F24" s="35"/>
      <c r="G24" s="35"/>
      <c r="H24" s="35"/>
      <c r="I24" s="35"/>
      <c r="J24" s="35"/>
      <c r="K24" s="35"/>
    </row>
    <row r="25" spans="1:11" ht="20" customHeight="1">
      <c r="A25" s="1" t="s">
        <v>54</v>
      </c>
      <c r="B25" s="35" t="s">
        <v>55</v>
      </c>
      <c r="C25" s="35"/>
      <c r="D25" s="35"/>
      <c r="E25" s="35"/>
      <c r="F25" s="35"/>
      <c r="G25" s="35"/>
      <c r="H25" s="35"/>
      <c r="I25" s="35"/>
      <c r="J25" s="35"/>
      <c r="K25" s="35"/>
    </row>
    <row r="26" spans="1:11" ht="20" customHeight="1">
      <c r="A26" s="1" t="s">
        <v>56</v>
      </c>
      <c r="B26" s="35" t="s">
        <v>57</v>
      </c>
      <c r="C26" s="35"/>
      <c r="D26" s="35"/>
      <c r="E26" s="35"/>
      <c r="F26" s="35"/>
      <c r="G26" s="35"/>
      <c r="H26" s="35"/>
      <c r="I26" s="35"/>
      <c r="J26" s="35"/>
      <c r="K26" s="35"/>
    </row>
    <row r="27" spans="1:11" ht="20" customHeight="1">
      <c r="A27" s="1" t="s">
        <v>58</v>
      </c>
      <c r="B27" s="35" t="s">
        <v>611</v>
      </c>
      <c r="C27" s="35"/>
      <c r="D27" s="35"/>
      <c r="E27" s="35"/>
      <c r="F27" s="35"/>
      <c r="G27" s="35"/>
      <c r="H27" s="35"/>
      <c r="I27" s="35"/>
      <c r="J27" s="35"/>
      <c r="K27" s="35"/>
    </row>
    <row r="28" spans="1:11" ht="20" customHeight="1">
      <c r="A28" s="1" t="s">
        <v>59</v>
      </c>
      <c r="B28" s="35" t="s">
        <v>60</v>
      </c>
      <c r="C28" s="35"/>
      <c r="D28" s="35"/>
      <c r="E28" s="35"/>
      <c r="F28" s="35"/>
      <c r="G28" s="35"/>
      <c r="H28" s="35"/>
      <c r="I28" s="35"/>
      <c r="J28" s="35"/>
      <c r="K28" s="35"/>
    </row>
    <row r="29" spans="1:11" ht="20" customHeight="1">
      <c r="A29" s="1" t="s">
        <v>61</v>
      </c>
      <c r="B29" s="35" t="s">
        <v>612</v>
      </c>
      <c r="C29" s="35"/>
      <c r="D29" s="35"/>
      <c r="E29" s="35"/>
      <c r="F29" s="35"/>
      <c r="G29" s="35"/>
      <c r="H29" s="35"/>
      <c r="I29" s="35"/>
      <c r="J29" s="35"/>
      <c r="K29" s="35"/>
    </row>
    <row r="30" spans="1:11" ht="21" customHeight="1">
      <c r="A30" s="1"/>
      <c r="B30" s="1"/>
      <c r="C30" s="1"/>
      <c r="D30" s="1"/>
      <c r="E30" s="1"/>
      <c r="F30" s="1"/>
      <c r="G30" s="1"/>
      <c r="H30" s="1"/>
      <c r="I30" s="1"/>
      <c r="J30" s="1"/>
      <c r="K30" s="1"/>
    </row>
    <row r="31" spans="1:11" ht="21" customHeight="1">
      <c r="A31" s="1"/>
      <c r="B31" s="1"/>
      <c r="C31" s="1"/>
      <c r="D31" s="1"/>
      <c r="E31" s="1"/>
      <c r="F31" s="1"/>
      <c r="G31" s="1"/>
      <c r="H31" s="1"/>
      <c r="I31" s="1"/>
      <c r="J31" s="1"/>
      <c r="K31" s="1"/>
    </row>
    <row r="32" spans="1:11" ht="21" customHeight="1">
      <c r="A32" s="33"/>
      <c r="B32" s="31"/>
      <c r="C32" s="31"/>
      <c r="D32" s="31"/>
      <c r="E32" s="31"/>
      <c r="F32" s="31"/>
      <c r="G32" s="31"/>
      <c r="H32" s="31"/>
      <c r="I32" s="31"/>
      <c r="J32" s="31"/>
      <c r="K32" s="31"/>
    </row>
    <row r="33" spans="1:11" ht="21" customHeight="1">
      <c r="A33" s="1"/>
      <c r="B33" s="1"/>
      <c r="C33" s="1"/>
      <c r="D33" s="1"/>
      <c r="E33" s="1"/>
      <c r="F33" s="1"/>
      <c r="G33" s="1"/>
      <c r="H33" s="1"/>
      <c r="I33" s="1"/>
      <c r="J33" s="1"/>
      <c r="K33" s="1"/>
    </row>
    <row r="34" spans="1:11" ht="21" customHeight="1">
      <c r="A34" s="1"/>
      <c r="B34" s="1"/>
      <c r="C34" s="1"/>
      <c r="D34" s="1"/>
      <c r="E34" s="1"/>
      <c r="F34" s="1"/>
      <c r="G34" s="1"/>
      <c r="H34" s="1"/>
      <c r="I34" s="1"/>
      <c r="J34" s="1"/>
      <c r="K34" s="1"/>
    </row>
    <row r="35" spans="1:11" ht="21" customHeight="1">
      <c r="A35" s="1"/>
      <c r="B35" s="1"/>
      <c r="C35" s="1"/>
      <c r="D35" s="1"/>
      <c r="E35" s="1"/>
      <c r="F35" s="1"/>
      <c r="G35" s="1"/>
      <c r="H35" s="1"/>
      <c r="I35" s="1"/>
      <c r="J35" s="1"/>
      <c r="K35" s="1"/>
    </row>
    <row r="36" spans="1:11" ht="21" customHeight="1">
      <c r="A36" s="1"/>
      <c r="B36" s="1"/>
      <c r="C36" s="1"/>
      <c r="D36" s="1"/>
      <c r="E36" s="1"/>
      <c r="F36" s="1"/>
      <c r="G36" s="1"/>
      <c r="H36" s="1"/>
      <c r="I36" s="1"/>
      <c r="J36" s="1"/>
      <c r="K36" s="1"/>
    </row>
    <row r="37" spans="1:11" ht="21" customHeight="1">
      <c r="A37" s="1"/>
      <c r="B37" s="1"/>
      <c r="C37" s="1"/>
      <c r="D37" s="1"/>
      <c r="E37" s="1"/>
      <c r="F37" s="1"/>
      <c r="G37" s="1"/>
      <c r="H37" s="1"/>
      <c r="I37" s="1"/>
      <c r="J37" s="1"/>
      <c r="K37" s="1"/>
    </row>
    <row r="38" spans="1:11" ht="21" customHeight="1">
      <c r="A38" s="1"/>
      <c r="B38" s="1"/>
      <c r="C38" s="1"/>
      <c r="D38" s="1"/>
      <c r="E38" s="1"/>
      <c r="F38" s="1"/>
      <c r="G38" s="1"/>
      <c r="H38" s="1"/>
      <c r="I38" s="1"/>
      <c r="J38" s="1"/>
      <c r="K38" s="1"/>
    </row>
    <row r="39" spans="1:11" ht="21" customHeight="1">
      <c r="A39" s="1"/>
      <c r="B39" s="1"/>
      <c r="C39" s="1"/>
      <c r="D39" s="1"/>
      <c r="E39" s="1"/>
      <c r="F39" s="1"/>
      <c r="G39" s="1"/>
      <c r="H39" s="1"/>
      <c r="I39" s="1"/>
      <c r="J39" s="1"/>
      <c r="K39" s="1"/>
    </row>
    <row r="40" spans="1:11" ht="21" customHeight="1">
      <c r="A40" s="1"/>
      <c r="B40" s="1"/>
      <c r="C40" s="1"/>
      <c r="D40" s="1"/>
      <c r="E40" s="1"/>
      <c r="F40" s="1"/>
      <c r="G40" s="1"/>
      <c r="H40" s="1"/>
      <c r="I40" s="1"/>
      <c r="J40" s="1"/>
      <c r="K40" s="1"/>
    </row>
    <row r="41" spans="1:11" ht="21" customHeight="1"/>
    <row r="42" spans="1:11" ht="21" customHeight="1"/>
    <row r="43" spans="1:11" ht="21" customHeight="1"/>
    <row r="44" spans="1:11" ht="21" customHeight="1"/>
    <row r="45" spans="1:11" ht="21" customHeight="1"/>
    <row r="46" spans="1:11" ht="21" customHeight="1"/>
    <row r="47" spans="1:11" ht="21" customHeight="1"/>
    <row r="48" spans="1:11"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mergeCells count="11">
    <mergeCell ref="A1:K1"/>
    <mergeCell ref="A22:K22"/>
    <mergeCell ref="A32:K32"/>
    <mergeCell ref="G3:K6"/>
    <mergeCell ref="B23:K23"/>
    <mergeCell ref="B24:K24"/>
    <mergeCell ref="B25:K25"/>
    <mergeCell ref="B26:K26"/>
    <mergeCell ref="B27:K27"/>
    <mergeCell ref="B28:K28"/>
    <mergeCell ref="B29:K29"/>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M5" workbookViewId="0"/>
  </sheetViews>
  <sheetFormatPr baseColWidth="10" defaultColWidth="12.6640625" defaultRowHeight="15"/>
  <cols>
    <col min="1" max="1" width="16" customWidth="1"/>
    <col min="2" max="2" width="10" customWidth="1"/>
    <col min="3" max="3" width="28" customWidth="1"/>
    <col min="4" max="4" width="12"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16" customWidth="1"/>
    <col min="18" max="18" width="11.5" customWidth="1"/>
    <col min="19"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82</v>
      </c>
      <c r="B2" s="5" t="s">
        <v>28</v>
      </c>
      <c r="C2" s="5" t="s">
        <v>29</v>
      </c>
      <c r="D2" s="5" t="s">
        <v>83</v>
      </c>
      <c r="E2" s="5" t="s">
        <v>84</v>
      </c>
      <c r="F2" s="5" t="s">
        <v>85</v>
      </c>
      <c r="G2" s="5" t="s">
        <v>86</v>
      </c>
      <c r="H2" s="5" t="s">
        <v>87</v>
      </c>
      <c r="I2" s="5" t="s">
        <v>88</v>
      </c>
      <c r="J2" s="5" t="s">
        <v>89</v>
      </c>
      <c r="K2" s="6" t="s">
        <v>613</v>
      </c>
      <c r="L2" s="5" t="s">
        <v>90</v>
      </c>
      <c r="M2" s="5"/>
      <c r="N2" s="5" t="s">
        <v>25</v>
      </c>
      <c r="O2" s="5" t="s">
        <v>91</v>
      </c>
      <c r="P2" s="5" t="s">
        <v>92</v>
      </c>
      <c r="Q2" s="5" t="s">
        <v>93</v>
      </c>
      <c r="R2" s="5" t="s">
        <v>94</v>
      </c>
      <c r="S2" s="5"/>
      <c r="T2" s="5"/>
      <c r="U2" s="5" t="s">
        <v>95</v>
      </c>
      <c r="V2" s="5" t="s">
        <v>96</v>
      </c>
      <c r="W2" s="7"/>
      <c r="X2" s="7"/>
      <c r="Y2" s="7"/>
      <c r="Z2" s="7"/>
    </row>
    <row r="3" spans="1:26" ht="128" customHeight="1">
      <c r="A3" s="5" t="s">
        <v>97</v>
      </c>
      <c r="B3" s="5" t="s">
        <v>28</v>
      </c>
      <c r="C3" s="5" t="s">
        <v>29</v>
      </c>
      <c r="D3" s="5" t="s">
        <v>83</v>
      </c>
      <c r="E3" s="5" t="s">
        <v>84</v>
      </c>
      <c r="F3" s="5" t="s">
        <v>98</v>
      </c>
      <c r="G3" s="5" t="s">
        <v>99</v>
      </c>
      <c r="H3" s="5" t="s">
        <v>100</v>
      </c>
      <c r="I3" s="5" t="s">
        <v>101</v>
      </c>
      <c r="J3" s="5" t="s">
        <v>102</v>
      </c>
      <c r="K3" s="5" t="s">
        <v>614</v>
      </c>
      <c r="L3" s="5" t="s">
        <v>103</v>
      </c>
      <c r="M3" s="5"/>
      <c r="N3" s="5" t="s">
        <v>25</v>
      </c>
      <c r="O3" s="5" t="s">
        <v>91</v>
      </c>
      <c r="P3" s="5" t="s">
        <v>104</v>
      </c>
      <c r="Q3" s="5" t="s">
        <v>93</v>
      </c>
      <c r="R3" s="5" t="s">
        <v>105</v>
      </c>
      <c r="S3" s="5"/>
      <c r="T3" s="5"/>
      <c r="U3" s="5" t="s">
        <v>106</v>
      </c>
      <c r="V3" s="5" t="s">
        <v>96</v>
      </c>
      <c r="W3" s="7"/>
      <c r="X3" s="7"/>
      <c r="Y3" s="7"/>
      <c r="Z3" s="7"/>
    </row>
    <row r="4" spans="1:26" ht="128" customHeight="1">
      <c r="A4" s="5" t="s">
        <v>107</v>
      </c>
      <c r="B4" s="5" t="s">
        <v>28</v>
      </c>
      <c r="C4" s="5" t="s">
        <v>29</v>
      </c>
      <c r="D4" s="5" t="s">
        <v>83</v>
      </c>
      <c r="E4" s="5" t="s">
        <v>84</v>
      </c>
      <c r="F4" s="5" t="s">
        <v>108</v>
      </c>
      <c r="G4" s="5" t="s">
        <v>109</v>
      </c>
      <c r="H4" s="5" t="s">
        <v>110</v>
      </c>
      <c r="I4" s="5" t="s">
        <v>111</v>
      </c>
      <c r="J4" s="5" t="s">
        <v>112</v>
      </c>
      <c r="K4" s="5" t="s">
        <v>615</v>
      </c>
      <c r="L4" s="5" t="s">
        <v>113</v>
      </c>
      <c r="M4" s="5"/>
      <c r="N4" s="5" t="s">
        <v>25</v>
      </c>
      <c r="O4" s="5" t="s">
        <v>114</v>
      </c>
      <c r="P4" s="5" t="s">
        <v>115</v>
      </c>
      <c r="Q4" s="5" t="s">
        <v>116</v>
      </c>
      <c r="R4" s="5" t="s">
        <v>117</v>
      </c>
      <c r="S4" s="5"/>
      <c r="T4" s="5"/>
      <c r="U4" s="5" t="s">
        <v>118</v>
      </c>
      <c r="V4" s="5" t="s">
        <v>96</v>
      </c>
      <c r="W4" s="7"/>
      <c r="X4" s="7"/>
      <c r="Y4" s="7"/>
      <c r="Z4" s="7"/>
    </row>
    <row r="5" spans="1:26" ht="128" customHeight="1">
      <c r="A5" s="5" t="s">
        <v>119</v>
      </c>
      <c r="B5" s="5" t="s">
        <v>28</v>
      </c>
      <c r="C5" s="5" t="s">
        <v>29</v>
      </c>
      <c r="D5" s="5" t="s">
        <v>83</v>
      </c>
      <c r="E5" s="5" t="s">
        <v>84</v>
      </c>
      <c r="F5" s="5" t="s">
        <v>108</v>
      </c>
      <c r="G5" s="5" t="s">
        <v>109</v>
      </c>
      <c r="H5" s="5" t="s">
        <v>120</v>
      </c>
      <c r="I5" s="5" t="s">
        <v>111</v>
      </c>
      <c r="J5" s="5" t="s">
        <v>121</v>
      </c>
      <c r="K5" s="5" t="s">
        <v>616</v>
      </c>
      <c r="L5" s="5" t="s">
        <v>113</v>
      </c>
      <c r="M5" s="5"/>
      <c r="N5" s="5" t="s">
        <v>25</v>
      </c>
      <c r="O5" s="5" t="s">
        <v>114</v>
      </c>
      <c r="P5" s="5" t="s">
        <v>115</v>
      </c>
      <c r="Q5" s="5" t="s">
        <v>116</v>
      </c>
      <c r="R5" s="5" t="s">
        <v>117</v>
      </c>
      <c r="S5" s="5"/>
      <c r="T5" s="5"/>
      <c r="U5" s="5" t="s">
        <v>118</v>
      </c>
      <c r="V5" s="5" t="s">
        <v>96</v>
      </c>
      <c r="W5" s="7"/>
      <c r="X5" s="7"/>
      <c r="Y5" s="7"/>
      <c r="Z5" s="7"/>
    </row>
    <row r="6" spans="1:26" ht="128" customHeight="1">
      <c r="A6" s="5" t="s">
        <v>122</v>
      </c>
      <c r="B6" s="5" t="s">
        <v>28</v>
      </c>
      <c r="C6" s="5" t="s">
        <v>29</v>
      </c>
      <c r="D6" s="5" t="s">
        <v>83</v>
      </c>
      <c r="E6" s="5" t="s">
        <v>84</v>
      </c>
      <c r="F6" s="5" t="s">
        <v>108</v>
      </c>
      <c r="G6" s="5" t="s">
        <v>123</v>
      </c>
      <c r="H6" s="5" t="s">
        <v>124</v>
      </c>
      <c r="I6" s="5" t="s">
        <v>111</v>
      </c>
      <c r="J6" s="5" t="s">
        <v>125</v>
      </c>
      <c r="K6" s="5" t="s">
        <v>617</v>
      </c>
      <c r="L6" s="5" t="s">
        <v>126</v>
      </c>
      <c r="M6" s="5"/>
      <c r="N6" s="5" t="s">
        <v>25</v>
      </c>
      <c r="O6" s="5" t="s">
        <v>114</v>
      </c>
      <c r="P6" s="5" t="s">
        <v>115</v>
      </c>
      <c r="Q6" s="5" t="s">
        <v>116</v>
      </c>
      <c r="R6" s="5" t="s">
        <v>117</v>
      </c>
      <c r="S6" s="5"/>
      <c r="T6" s="5"/>
      <c r="U6" s="5" t="s">
        <v>118</v>
      </c>
      <c r="V6" s="5" t="s">
        <v>96</v>
      </c>
      <c r="W6" s="7"/>
      <c r="X6" s="7"/>
      <c r="Y6" s="7"/>
      <c r="Z6" s="7"/>
    </row>
    <row r="7" spans="1:26" ht="128" customHeight="1">
      <c r="A7" s="5" t="s">
        <v>127</v>
      </c>
      <c r="B7" s="5" t="s">
        <v>28</v>
      </c>
      <c r="C7" s="5" t="s">
        <v>29</v>
      </c>
      <c r="D7" s="5" t="s">
        <v>128</v>
      </c>
      <c r="E7" s="5" t="s">
        <v>129</v>
      </c>
      <c r="F7" s="5" t="s">
        <v>130</v>
      </c>
      <c r="G7" s="5" t="s">
        <v>131</v>
      </c>
      <c r="H7" s="5" t="s">
        <v>132</v>
      </c>
      <c r="I7" s="5" t="s">
        <v>133</v>
      </c>
      <c r="J7" s="5" t="s">
        <v>134</v>
      </c>
      <c r="K7" s="5" t="s">
        <v>614</v>
      </c>
      <c r="L7" s="5" t="s">
        <v>135</v>
      </c>
      <c r="M7" s="5"/>
      <c r="N7" s="5" t="s">
        <v>25</v>
      </c>
      <c r="O7" s="5" t="s">
        <v>91</v>
      </c>
      <c r="P7" s="5" t="s">
        <v>92</v>
      </c>
      <c r="Q7" s="5" t="s">
        <v>93</v>
      </c>
      <c r="R7" s="5" t="s">
        <v>94</v>
      </c>
      <c r="S7" s="5"/>
      <c r="T7" s="5"/>
      <c r="U7" s="5" t="s">
        <v>136</v>
      </c>
      <c r="V7" s="5" t="s">
        <v>96</v>
      </c>
      <c r="W7" s="7"/>
      <c r="X7" s="7"/>
      <c r="Y7" s="7"/>
      <c r="Z7" s="7"/>
    </row>
    <row r="8" spans="1:26" ht="128" customHeight="1">
      <c r="A8" s="5" t="s">
        <v>137</v>
      </c>
      <c r="B8" s="5" t="s">
        <v>28</v>
      </c>
      <c r="C8" s="5" t="s">
        <v>29</v>
      </c>
      <c r="D8" s="5" t="s">
        <v>128</v>
      </c>
      <c r="E8" s="5" t="s">
        <v>129</v>
      </c>
      <c r="F8" s="5" t="s">
        <v>138</v>
      </c>
      <c r="G8" s="5" t="s">
        <v>139</v>
      </c>
      <c r="H8" s="5" t="s">
        <v>140</v>
      </c>
      <c r="I8" s="5" t="s">
        <v>141</v>
      </c>
      <c r="J8" s="5" t="s">
        <v>142</v>
      </c>
      <c r="K8" s="5" t="s">
        <v>618</v>
      </c>
      <c r="L8" s="5" t="s">
        <v>143</v>
      </c>
      <c r="M8" s="5"/>
      <c r="N8" s="5" t="s">
        <v>25</v>
      </c>
      <c r="O8" s="5" t="s">
        <v>91</v>
      </c>
      <c r="P8" s="5" t="s">
        <v>104</v>
      </c>
      <c r="Q8" s="5" t="s">
        <v>93</v>
      </c>
      <c r="R8" s="5" t="s">
        <v>105</v>
      </c>
      <c r="S8" s="5"/>
      <c r="T8" s="5"/>
      <c r="U8" s="5" t="s">
        <v>144</v>
      </c>
      <c r="V8" s="5" t="s">
        <v>96</v>
      </c>
      <c r="W8" s="7"/>
      <c r="X8" s="7"/>
      <c r="Y8" s="7"/>
      <c r="Z8" s="7"/>
    </row>
    <row r="9" spans="1:26" ht="128" customHeight="1">
      <c r="A9" s="5" t="s">
        <v>145</v>
      </c>
      <c r="B9" s="5" t="s">
        <v>28</v>
      </c>
      <c r="C9" s="5" t="s">
        <v>29</v>
      </c>
      <c r="D9" s="5" t="s">
        <v>128</v>
      </c>
      <c r="E9" s="5" t="s">
        <v>129</v>
      </c>
      <c r="F9" s="5" t="s">
        <v>138</v>
      </c>
      <c r="G9" s="5" t="s">
        <v>139</v>
      </c>
      <c r="H9" s="5" t="s">
        <v>146</v>
      </c>
      <c r="I9" s="5" t="s">
        <v>133</v>
      </c>
      <c r="J9" s="5" t="s">
        <v>147</v>
      </c>
      <c r="K9" s="5" t="s">
        <v>619</v>
      </c>
      <c r="L9" s="5" t="s">
        <v>143</v>
      </c>
      <c r="M9" s="5"/>
      <c r="N9" s="5" t="s">
        <v>25</v>
      </c>
      <c r="O9" s="5" t="s">
        <v>91</v>
      </c>
      <c r="P9" s="5" t="s">
        <v>104</v>
      </c>
      <c r="Q9" s="5" t="s">
        <v>116</v>
      </c>
      <c r="R9" s="5" t="s">
        <v>117</v>
      </c>
      <c r="S9" s="5"/>
      <c r="T9" s="5"/>
      <c r="U9" s="5" t="s">
        <v>144</v>
      </c>
      <c r="V9" s="5" t="s">
        <v>96</v>
      </c>
      <c r="W9" s="7"/>
      <c r="X9" s="7"/>
      <c r="Y9" s="7"/>
      <c r="Z9" s="7"/>
    </row>
    <row r="10" spans="1:26" ht="128" customHeight="1">
      <c r="A10" s="5" t="s">
        <v>148</v>
      </c>
      <c r="B10" s="5" t="s">
        <v>28</v>
      </c>
      <c r="C10" s="5" t="s">
        <v>29</v>
      </c>
      <c r="D10" s="5" t="s">
        <v>128</v>
      </c>
      <c r="E10" s="5" t="s">
        <v>129</v>
      </c>
      <c r="F10" s="5" t="s">
        <v>108</v>
      </c>
      <c r="G10" s="5" t="s">
        <v>149</v>
      </c>
      <c r="H10" s="5" t="s">
        <v>150</v>
      </c>
      <c r="I10" s="5" t="s">
        <v>111</v>
      </c>
      <c r="J10" s="5" t="s">
        <v>151</v>
      </c>
      <c r="K10" s="5" t="s">
        <v>620</v>
      </c>
      <c r="L10" s="5" t="s">
        <v>152</v>
      </c>
      <c r="M10" s="5"/>
      <c r="N10" s="5" t="s">
        <v>25</v>
      </c>
      <c r="O10" s="5" t="s">
        <v>114</v>
      </c>
      <c r="P10" s="5" t="s">
        <v>115</v>
      </c>
      <c r="Q10" s="5" t="s">
        <v>116</v>
      </c>
      <c r="R10" s="5" t="s">
        <v>117</v>
      </c>
      <c r="S10" s="5"/>
      <c r="T10" s="5"/>
      <c r="U10" s="5" t="s">
        <v>118</v>
      </c>
      <c r="V10" s="5" t="s">
        <v>96</v>
      </c>
      <c r="W10" s="7"/>
      <c r="X10" s="7"/>
      <c r="Y10" s="7"/>
      <c r="Z10" s="7"/>
    </row>
    <row r="11" spans="1:26" ht="128" customHeight="1">
      <c r="A11" s="5" t="s">
        <v>153</v>
      </c>
      <c r="B11" s="5" t="s">
        <v>28</v>
      </c>
      <c r="C11" s="5" t="s">
        <v>29</v>
      </c>
      <c r="D11" s="5" t="s">
        <v>128</v>
      </c>
      <c r="E11" s="5" t="s">
        <v>129</v>
      </c>
      <c r="F11" s="5" t="s">
        <v>108</v>
      </c>
      <c r="G11" s="5" t="s">
        <v>149</v>
      </c>
      <c r="H11" s="5" t="s">
        <v>154</v>
      </c>
      <c r="I11" s="5" t="s">
        <v>111</v>
      </c>
      <c r="J11" s="5" t="s">
        <v>155</v>
      </c>
      <c r="K11" s="5" t="s">
        <v>621</v>
      </c>
      <c r="L11" s="5" t="s">
        <v>152</v>
      </c>
      <c r="M11" s="5"/>
      <c r="N11" s="5" t="s">
        <v>25</v>
      </c>
      <c r="O11" s="5" t="s">
        <v>114</v>
      </c>
      <c r="P11" s="5" t="s">
        <v>115</v>
      </c>
      <c r="Q11" s="5" t="s">
        <v>116</v>
      </c>
      <c r="R11" s="5" t="s">
        <v>117</v>
      </c>
      <c r="S11" s="5"/>
      <c r="T11" s="5"/>
      <c r="U11" s="5" t="s">
        <v>118</v>
      </c>
      <c r="V11" s="5" t="s">
        <v>96</v>
      </c>
      <c r="W11" s="7"/>
      <c r="X11" s="7"/>
      <c r="Y11" s="7"/>
      <c r="Z11" s="7"/>
    </row>
    <row r="12" spans="1:26" ht="128" customHeight="1">
      <c r="A12" s="5" t="s">
        <v>156</v>
      </c>
      <c r="B12" s="5" t="s">
        <v>28</v>
      </c>
      <c r="C12" s="5" t="s">
        <v>29</v>
      </c>
      <c r="D12" s="5" t="s">
        <v>157</v>
      </c>
      <c r="E12" s="5" t="s">
        <v>158</v>
      </c>
      <c r="F12" s="5" t="s">
        <v>130</v>
      </c>
      <c r="G12" s="5" t="s">
        <v>159</v>
      </c>
      <c r="H12" s="5" t="s">
        <v>160</v>
      </c>
      <c r="I12" s="5" t="s">
        <v>161</v>
      </c>
      <c r="J12" s="5" t="s">
        <v>162</v>
      </c>
      <c r="K12" s="5" t="s">
        <v>614</v>
      </c>
      <c r="L12" s="5" t="s">
        <v>163</v>
      </c>
      <c r="M12" s="5"/>
      <c r="N12" s="5" t="s">
        <v>25</v>
      </c>
      <c r="O12" s="5" t="s">
        <v>91</v>
      </c>
      <c r="P12" s="5" t="s">
        <v>92</v>
      </c>
      <c r="Q12" s="5" t="s">
        <v>93</v>
      </c>
      <c r="R12" s="5" t="s">
        <v>94</v>
      </c>
      <c r="S12" s="5"/>
      <c r="T12" s="5"/>
      <c r="U12" s="5" t="s">
        <v>164</v>
      </c>
      <c r="V12" s="5" t="s">
        <v>96</v>
      </c>
      <c r="W12" s="7"/>
      <c r="X12" s="7"/>
      <c r="Y12" s="7"/>
      <c r="Z12" s="7"/>
    </row>
    <row r="13" spans="1:26" ht="128" customHeight="1">
      <c r="A13" s="5" t="s">
        <v>165</v>
      </c>
      <c r="B13" s="5" t="s">
        <v>28</v>
      </c>
      <c r="C13" s="5" t="s">
        <v>29</v>
      </c>
      <c r="D13" s="5" t="s">
        <v>166</v>
      </c>
      <c r="E13" s="5" t="s">
        <v>167</v>
      </c>
      <c r="F13" s="5" t="s">
        <v>130</v>
      </c>
      <c r="G13" s="5" t="s">
        <v>168</v>
      </c>
      <c r="H13" s="5" t="s">
        <v>169</v>
      </c>
      <c r="I13" s="5" t="s">
        <v>170</v>
      </c>
      <c r="J13" s="5" t="s">
        <v>171</v>
      </c>
      <c r="K13" s="5" t="s">
        <v>622</v>
      </c>
      <c r="L13" s="5" t="s">
        <v>172</v>
      </c>
      <c r="M13" s="5"/>
      <c r="N13" s="5" t="s">
        <v>25</v>
      </c>
      <c r="O13" s="5" t="s">
        <v>91</v>
      </c>
      <c r="P13" s="5" t="s">
        <v>92</v>
      </c>
      <c r="Q13" s="5" t="s">
        <v>93</v>
      </c>
      <c r="R13" s="5" t="s">
        <v>94</v>
      </c>
      <c r="S13" s="5"/>
      <c r="T13" s="5"/>
      <c r="U13" s="5" t="s">
        <v>173</v>
      </c>
      <c r="V13" s="5" t="s">
        <v>96</v>
      </c>
      <c r="W13" s="7"/>
      <c r="X13" s="7"/>
      <c r="Y13" s="7"/>
      <c r="Z13" s="7"/>
    </row>
    <row r="14" spans="1:26" ht="128" customHeight="1">
      <c r="A14" s="5" t="s">
        <v>174</v>
      </c>
      <c r="B14" s="5" t="s">
        <v>28</v>
      </c>
      <c r="C14" s="5" t="s">
        <v>29</v>
      </c>
      <c r="D14" s="5" t="s">
        <v>166</v>
      </c>
      <c r="E14" s="5" t="s">
        <v>167</v>
      </c>
      <c r="F14" s="5" t="s">
        <v>108</v>
      </c>
      <c r="G14" s="5" t="s">
        <v>175</v>
      </c>
      <c r="H14" s="5" t="s">
        <v>176</v>
      </c>
      <c r="I14" s="5" t="s">
        <v>177</v>
      </c>
      <c r="J14" s="5" t="s">
        <v>178</v>
      </c>
      <c r="K14" s="5" t="s">
        <v>623</v>
      </c>
      <c r="L14" s="5" t="s">
        <v>179</v>
      </c>
      <c r="M14" s="5"/>
      <c r="N14" s="5" t="s">
        <v>25</v>
      </c>
      <c r="O14" s="5" t="s">
        <v>91</v>
      </c>
      <c r="P14" s="5" t="s">
        <v>180</v>
      </c>
      <c r="Q14" s="5" t="s">
        <v>116</v>
      </c>
      <c r="R14" s="5" t="s">
        <v>117</v>
      </c>
      <c r="S14" s="5"/>
      <c r="T14" s="5"/>
      <c r="U14" s="5" t="s">
        <v>181</v>
      </c>
      <c r="V14" s="5" t="s">
        <v>96</v>
      </c>
      <c r="W14" s="7"/>
      <c r="X14" s="7"/>
      <c r="Y14" s="7"/>
      <c r="Z14"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4">
    <cfRule type="expression" dxfId="49" priority="1">
      <formula>N2="Pass"</formula>
    </cfRule>
  </conditionalFormatting>
  <conditionalFormatting sqref="N2:N14">
    <cfRule type="expression" dxfId="48" priority="2">
      <formula>N2="Fail"</formula>
    </cfRule>
  </conditionalFormatting>
  <conditionalFormatting sqref="N2:N14">
    <cfRule type="expression" dxfId="47" priority="3">
      <formula>N2="Blocked"</formula>
    </cfRule>
  </conditionalFormatting>
  <conditionalFormatting sqref="Q2:Q14">
    <cfRule type="expression" dxfId="46" priority="4">
      <formula>Q2="Yes"</formula>
    </cfRule>
  </conditionalFormatting>
  <conditionalFormatting sqref="Q2:Q14">
    <cfRule type="expression" dxfId="45" priority="5">
      <formula>Q2="Later"</formula>
    </cfRule>
  </conditionalFormatting>
  <conditionalFormatting sqref="Q2:Q14">
    <cfRule type="expression" dxfId="44" priority="6">
      <formula>Q2="No"</formula>
    </cfRule>
  </conditionalFormatting>
  <conditionalFormatting sqref="O2:O14">
    <cfRule type="expression" dxfId="43" priority="7">
      <formula>O2="High"</formula>
    </cfRule>
  </conditionalFormatting>
  <dataValidations count="4">
    <dataValidation type="list" allowBlank="1" sqref="R2:R14" xr:uid="{00000000-0002-0000-0100-000000000000}">
      <formula1>"P1,P2,P3,P4"</formula1>
    </dataValidation>
    <dataValidation type="list" allowBlank="1" sqref="O2:O14" xr:uid="{00000000-0002-0000-0100-000001000000}">
      <formula1>"High,Medium,Low"</formula1>
    </dataValidation>
    <dataValidation type="list" allowBlank="1" sqref="N2:N14" xr:uid="{00000000-0002-0000-0100-000002000000}">
      <formula1>"Not Run,Pass,Fail,Blocked,Retest"</formula1>
    </dataValidation>
    <dataValidation type="list" allowBlank="1" sqref="Q2:Q14" xr:uid="{00000000-0002-0000-0100-000003000000}">
      <formula1>"Yes,Later,No"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L13" workbookViewId="0">
      <selection activeCell="H3" sqref="H3"/>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182</v>
      </c>
      <c r="B2" s="5" t="s">
        <v>31</v>
      </c>
      <c r="C2" s="5" t="s">
        <v>32</v>
      </c>
      <c r="D2" s="5" t="s">
        <v>183</v>
      </c>
      <c r="E2" s="5" t="s">
        <v>184</v>
      </c>
      <c r="F2" s="5" t="s">
        <v>130</v>
      </c>
      <c r="G2" s="5" t="s">
        <v>185</v>
      </c>
      <c r="H2" s="5" t="s">
        <v>186</v>
      </c>
      <c r="I2" s="5" t="s">
        <v>187</v>
      </c>
      <c r="J2" s="5" t="s">
        <v>188</v>
      </c>
      <c r="K2" s="5" t="s">
        <v>189</v>
      </c>
      <c r="L2" s="5" t="s">
        <v>190</v>
      </c>
      <c r="M2" s="5"/>
      <c r="N2" s="5" t="s">
        <v>25</v>
      </c>
      <c r="O2" s="5" t="s">
        <v>91</v>
      </c>
      <c r="P2" s="5" t="s">
        <v>92</v>
      </c>
      <c r="Q2" s="5" t="s">
        <v>116</v>
      </c>
      <c r="R2" s="5" t="s">
        <v>117</v>
      </c>
      <c r="S2" s="5"/>
      <c r="T2" s="5"/>
      <c r="U2" s="5" t="s">
        <v>191</v>
      </c>
      <c r="V2" s="5" t="s">
        <v>96</v>
      </c>
      <c r="W2" s="7"/>
      <c r="X2" s="7"/>
      <c r="Y2" s="7"/>
      <c r="Z2" s="7"/>
    </row>
    <row r="3" spans="1:26" ht="128" customHeight="1">
      <c r="A3" s="5" t="s">
        <v>192</v>
      </c>
      <c r="B3" s="5" t="s">
        <v>31</v>
      </c>
      <c r="C3" s="5" t="s">
        <v>32</v>
      </c>
      <c r="D3" s="5" t="s">
        <v>183</v>
      </c>
      <c r="E3" s="5" t="s">
        <v>184</v>
      </c>
      <c r="F3" s="5" t="s">
        <v>130</v>
      </c>
      <c r="G3" s="5" t="s">
        <v>185</v>
      </c>
      <c r="H3" s="5" t="s">
        <v>193</v>
      </c>
      <c r="I3" s="5" t="s">
        <v>194</v>
      </c>
      <c r="J3" s="5" t="s">
        <v>195</v>
      </c>
      <c r="K3" s="5" t="s">
        <v>189</v>
      </c>
      <c r="L3" s="5" t="s">
        <v>196</v>
      </c>
      <c r="M3" s="5"/>
      <c r="N3" s="5" t="s">
        <v>25</v>
      </c>
      <c r="O3" s="5" t="s">
        <v>91</v>
      </c>
      <c r="P3" s="5" t="s">
        <v>197</v>
      </c>
      <c r="Q3" s="5" t="s">
        <v>116</v>
      </c>
      <c r="R3" s="5" t="s">
        <v>117</v>
      </c>
      <c r="S3" s="5"/>
      <c r="T3" s="5"/>
      <c r="U3" s="5" t="s">
        <v>191</v>
      </c>
      <c r="V3" s="5" t="s">
        <v>96</v>
      </c>
      <c r="W3" s="7"/>
      <c r="X3" s="7"/>
      <c r="Y3" s="7"/>
      <c r="Z3" s="7"/>
    </row>
    <row r="4" spans="1:26" ht="128" customHeight="1">
      <c r="A4" s="5" t="s">
        <v>198</v>
      </c>
      <c r="B4" s="5" t="s">
        <v>31</v>
      </c>
      <c r="C4" s="5" t="s">
        <v>32</v>
      </c>
      <c r="D4" s="5" t="s">
        <v>199</v>
      </c>
      <c r="E4" s="5" t="s">
        <v>200</v>
      </c>
      <c r="F4" s="5" t="s">
        <v>130</v>
      </c>
      <c r="G4" s="5" t="s">
        <v>201</v>
      </c>
      <c r="H4" s="5" t="s">
        <v>202</v>
      </c>
      <c r="I4" s="5" t="s">
        <v>194</v>
      </c>
      <c r="J4" s="5" t="s">
        <v>203</v>
      </c>
      <c r="K4" s="5" t="s">
        <v>204</v>
      </c>
      <c r="L4" s="5" t="s">
        <v>205</v>
      </c>
      <c r="M4" s="5"/>
      <c r="N4" s="5" t="s">
        <v>25</v>
      </c>
      <c r="O4" s="5" t="s">
        <v>91</v>
      </c>
      <c r="P4" s="5" t="s">
        <v>92</v>
      </c>
      <c r="Q4" s="5" t="s">
        <v>116</v>
      </c>
      <c r="R4" s="5" t="s">
        <v>117</v>
      </c>
      <c r="S4" s="5"/>
      <c r="T4" s="5"/>
      <c r="U4" s="5" t="s">
        <v>191</v>
      </c>
      <c r="V4" s="5" t="s">
        <v>96</v>
      </c>
      <c r="W4" s="7"/>
      <c r="X4" s="7"/>
      <c r="Y4" s="7"/>
      <c r="Z4" s="7"/>
    </row>
    <row r="5" spans="1:26" ht="128" customHeight="1">
      <c r="A5" s="5" t="s">
        <v>206</v>
      </c>
      <c r="B5" s="5" t="s">
        <v>31</v>
      </c>
      <c r="C5" s="5" t="s">
        <v>32</v>
      </c>
      <c r="D5" s="5" t="s">
        <v>199</v>
      </c>
      <c r="E5" s="5" t="s">
        <v>200</v>
      </c>
      <c r="F5" s="5" t="s">
        <v>130</v>
      </c>
      <c r="G5" s="5" t="s">
        <v>201</v>
      </c>
      <c r="H5" s="5" t="s">
        <v>207</v>
      </c>
      <c r="I5" s="5" t="s">
        <v>208</v>
      </c>
      <c r="J5" s="5" t="s">
        <v>209</v>
      </c>
      <c r="K5" s="5" t="s">
        <v>210</v>
      </c>
      <c r="L5" s="5" t="s">
        <v>211</v>
      </c>
      <c r="M5" s="5"/>
      <c r="N5" s="5" t="s">
        <v>25</v>
      </c>
      <c r="O5" s="5" t="s">
        <v>91</v>
      </c>
      <c r="P5" s="5" t="s">
        <v>197</v>
      </c>
      <c r="Q5" s="5" t="s">
        <v>93</v>
      </c>
      <c r="R5" s="5" t="s">
        <v>94</v>
      </c>
      <c r="S5" s="5"/>
      <c r="T5" s="5"/>
      <c r="U5" s="5" t="s">
        <v>191</v>
      </c>
      <c r="V5" s="5" t="s">
        <v>96</v>
      </c>
      <c r="W5" s="7"/>
      <c r="X5" s="7"/>
      <c r="Y5" s="7"/>
      <c r="Z5" s="7"/>
    </row>
    <row r="6" spans="1:26" ht="128" customHeight="1">
      <c r="A6" s="5" t="s">
        <v>212</v>
      </c>
      <c r="B6" s="5" t="s">
        <v>31</v>
      </c>
      <c r="C6" s="5" t="s">
        <v>32</v>
      </c>
      <c r="D6" s="5" t="s">
        <v>213</v>
      </c>
      <c r="E6" s="5" t="s">
        <v>214</v>
      </c>
      <c r="F6" s="5" t="s">
        <v>130</v>
      </c>
      <c r="G6" s="5" t="s">
        <v>215</v>
      </c>
      <c r="H6" s="5" t="s">
        <v>216</v>
      </c>
      <c r="I6" s="5" t="s">
        <v>194</v>
      </c>
      <c r="J6" s="5" t="s">
        <v>217</v>
      </c>
      <c r="K6" s="5" t="s">
        <v>624</v>
      </c>
      <c r="L6" s="5" t="s">
        <v>218</v>
      </c>
      <c r="M6" s="5"/>
      <c r="N6" s="5" t="s">
        <v>25</v>
      </c>
      <c r="O6" s="5" t="s">
        <v>91</v>
      </c>
      <c r="P6" s="5" t="s">
        <v>92</v>
      </c>
      <c r="Q6" s="5" t="s">
        <v>93</v>
      </c>
      <c r="R6" s="5" t="s">
        <v>94</v>
      </c>
      <c r="S6" s="5"/>
      <c r="T6" s="5"/>
      <c r="U6" s="5" t="s">
        <v>219</v>
      </c>
      <c r="V6" s="5" t="s">
        <v>96</v>
      </c>
      <c r="W6" s="7"/>
      <c r="X6" s="7"/>
      <c r="Y6" s="7"/>
      <c r="Z6" s="7"/>
    </row>
    <row r="7" spans="1:26" ht="128" customHeight="1">
      <c r="A7" s="5" t="s">
        <v>220</v>
      </c>
      <c r="B7" s="5" t="s">
        <v>31</v>
      </c>
      <c r="C7" s="5" t="s">
        <v>32</v>
      </c>
      <c r="D7" s="5" t="s">
        <v>213</v>
      </c>
      <c r="E7" s="5" t="s">
        <v>214</v>
      </c>
      <c r="F7" s="5" t="s">
        <v>130</v>
      </c>
      <c r="G7" s="5" t="s">
        <v>215</v>
      </c>
      <c r="H7" s="5" t="s">
        <v>221</v>
      </c>
      <c r="I7" s="5" t="s">
        <v>194</v>
      </c>
      <c r="J7" s="5" t="s">
        <v>222</v>
      </c>
      <c r="K7" s="5" t="s">
        <v>625</v>
      </c>
      <c r="L7" s="5" t="s">
        <v>223</v>
      </c>
      <c r="M7" s="5"/>
      <c r="N7" s="5" t="s">
        <v>25</v>
      </c>
      <c r="O7" s="5" t="s">
        <v>114</v>
      </c>
      <c r="P7" s="5" t="s">
        <v>224</v>
      </c>
      <c r="Q7" s="5" t="s">
        <v>116</v>
      </c>
      <c r="R7" s="5" t="s">
        <v>117</v>
      </c>
      <c r="S7" s="5"/>
      <c r="T7" s="5"/>
      <c r="U7" s="5" t="s">
        <v>219</v>
      </c>
      <c r="V7" s="5" t="s">
        <v>96</v>
      </c>
      <c r="W7" s="7"/>
      <c r="X7" s="7"/>
      <c r="Y7" s="7"/>
      <c r="Z7" s="7"/>
    </row>
    <row r="8" spans="1:26" ht="128" customHeight="1">
      <c r="A8" s="5" t="s">
        <v>225</v>
      </c>
      <c r="B8" s="5" t="s">
        <v>31</v>
      </c>
      <c r="C8" s="5" t="s">
        <v>32</v>
      </c>
      <c r="D8" s="5" t="s">
        <v>226</v>
      </c>
      <c r="E8" s="5" t="s">
        <v>227</v>
      </c>
      <c r="F8" s="5" t="s">
        <v>130</v>
      </c>
      <c r="G8" s="5" t="s">
        <v>228</v>
      </c>
      <c r="H8" s="5" t="s">
        <v>229</v>
      </c>
      <c r="I8" s="5" t="s">
        <v>230</v>
      </c>
      <c r="J8" s="5" t="s">
        <v>231</v>
      </c>
      <c r="K8" s="5" t="s">
        <v>232</v>
      </c>
      <c r="L8" s="5" t="s">
        <v>233</v>
      </c>
      <c r="M8" s="5"/>
      <c r="N8" s="5" t="s">
        <v>25</v>
      </c>
      <c r="O8" s="5" t="s">
        <v>91</v>
      </c>
      <c r="P8" s="5" t="s">
        <v>92</v>
      </c>
      <c r="Q8" s="5" t="s">
        <v>93</v>
      </c>
      <c r="R8" s="5" t="s">
        <v>94</v>
      </c>
      <c r="S8" s="5"/>
      <c r="T8" s="5"/>
      <c r="U8" s="5" t="s">
        <v>234</v>
      </c>
      <c r="V8" s="5" t="s">
        <v>96</v>
      </c>
      <c r="W8" s="7"/>
      <c r="X8" s="7"/>
      <c r="Y8" s="7"/>
      <c r="Z8" s="7"/>
    </row>
    <row r="9" spans="1:26" ht="128" customHeight="1">
      <c r="A9" s="5" t="s">
        <v>235</v>
      </c>
      <c r="B9" s="5" t="s">
        <v>31</v>
      </c>
      <c r="C9" s="5" t="s">
        <v>32</v>
      </c>
      <c r="D9" s="5" t="s">
        <v>226</v>
      </c>
      <c r="E9" s="5" t="s">
        <v>227</v>
      </c>
      <c r="F9" s="5" t="s">
        <v>138</v>
      </c>
      <c r="G9" s="5" t="s">
        <v>236</v>
      </c>
      <c r="H9" s="5" t="s">
        <v>237</v>
      </c>
      <c r="I9" s="5" t="s">
        <v>238</v>
      </c>
      <c r="J9" s="5" t="s">
        <v>239</v>
      </c>
      <c r="K9" s="5" t="s">
        <v>240</v>
      </c>
      <c r="L9" s="5" t="s">
        <v>241</v>
      </c>
      <c r="M9" s="5"/>
      <c r="N9" s="5" t="s">
        <v>25</v>
      </c>
      <c r="O9" s="5" t="s">
        <v>114</v>
      </c>
      <c r="P9" s="5" t="s">
        <v>92</v>
      </c>
      <c r="Q9" s="5" t="s">
        <v>116</v>
      </c>
      <c r="R9" s="5" t="s">
        <v>117</v>
      </c>
      <c r="S9" s="5"/>
      <c r="T9" s="5"/>
      <c r="U9" s="5" t="s">
        <v>234</v>
      </c>
      <c r="V9" s="5" t="s">
        <v>96</v>
      </c>
      <c r="W9" s="7"/>
      <c r="X9" s="7"/>
      <c r="Y9" s="7"/>
      <c r="Z9" s="7"/>
    </row>
    <row r="10" spans="1:26" ht="128" customHeight="1">
      <c r="A10" s="5" t="s">
        <v>242</v>
      </c>
      <c r="B10" s="5" t="s">
        <v>31</v>
      </c>
      <c r="C10" s="5" t="s">
        <v>32</v>
      </c>
      <c r="D10" s="6" t="s">
        <v>243</v>
      </c>
      <c r="E10" s="5" t="s">
        <v>244</v>
      </c>
      <c r="F10" s="5" t="s">
        <v>130</v>
      </c>
      <c r="G10" s="5" t="s">
        <v>245</v>
      </c>
      <c r="H10" s="5" t="s">
        <v>246</v>
      </c>
      <c r="I10" s="5" t="s">
        <v>247</v>
      </c>
      <c r="J10" s="5" t="s">
        <v>248</v>
      </c>
      <c r="K10" s="5" t="s">
        <v>249</v>
      </c>
      <c r="L10" s="5" t="s">
        <v>250</v>
      </c>
      <c r="M10" s="5"/>
      <c r="N10" s="5" t="s">
        <v>25</v>
      </c>
      <c r="O10" s="5" t="s">
        <v>91</v>
      </c>
      <c r="P10" s="5" t="s">
        <v>92</v>
      </c>
      <c r="Q10" s="5" t="s">
        <v>93</v>
      </c>
      <c r="R10" s="5" t="s">
        <v>94</v>
      </c>
      <c r="S10" s="5"/>
      <c r="T10" s="5"/>
      <c r="U10" s="5" t="s">
        <v>251</v>
      </c>
      <c r="V10" s="5" t="s">
        <v>96</v>
      </c>
      <c r="W10" s="7"/>
      <c r="X10" s="7"/>
      <c r="Y10" s="7"/>
      <c r="Z10" s="7"/>
    </row>
    <row r="11" spans="1:26" ht="128" customHeight="1">
      <c r="A11" s="5" t="s">
        <v>252</v>
      </c>
      <c r="B11" s="5" t="s">
        <v>31</v>
      </c>
      <c r="C11" s="5" t="s">
        <v>32</v>
      </c>
      <c r="D11" s="6" t="s">
        <v>243</v>
      </c>
      <c r="E11" s="5" t="s">
        <v>244</v>
      </c>
      <c r="F11" s="5" t="s">
        <v>138</v>
      </c>
      <c r="G11" s="5" t="s">
        <v>253</v>
      </c>
      <c r="H11" s="5" t="s">
        <v>254</v>
      </c>
      <c r="I11" s="5" t="s">
        <v>255</v>
      </c>
      <c r="J11" s="5" t="s">
        <v>256</v>
      </c>
      <c r="K11" s="5" t="s">
        <v>257</v>
      </c>
      <c r="L11" s="5" t="s">
        <v>258</v>
      </c>
      <c r="M11" s="5"/>
      <c r="N11" s="5" t="s">
        <v>25</v>
      </c>
      <c r="O11" s="5" t="s">
        <v>114</v>
      </c>
      <c r="P11" s="5" t="s">
        <v>92</v>
      </c>
      <c r="Q11" s="5" t="s">
        <v>116</v>
      </c>
      <c r="R11" s="5" t="s">
        <v>117</v>
      </c>
      <c r="S11" s="5"/>
      <c r="T11" s="5"/>
      <c r="U11" s="5" t="s">
        <v>251</v>
      </c>
      <c r="V11" s="5" t="s">
        <v>96</v>
      </c>
      <c r="W11" s="7"/>
      <c r="X11" s="7"/>
      <c r="Y11" s="7"/>
      <c r="Z11" s="7"/>
    </row>
    <row r="12" spans="1:26" ht="128" customHeight="1">
      <c r="A12" s="5" t="s">
        <v>259</v>
      </c>
      <c r="B12" s="5" t="s">
        <v>31</v>
      </c>
      <c r="C12" s="5" t="s">
        <v>32</v>
      </c>
      <c r="D12" s="5" t="s">
        <v>260</v>
      </c>
      <c r="E12" s="5" t="s">
        <v>261</v>
      </c>
      <c r="F12" s="5" t="s">
        <v>130</v>
      </c>
      <c r="G12" s="5" t="s">
        <v>262</v>
      </c>
      <c r="H12" s="5" t="s">
        <v>263</v>
      </c>
      <c r="I12" s="5" t="s">
        <v>264</v>
      </c>
      <c r="J12" s="5" t="s">
        <v>265</v>
      </c>
      <c r="K12" s="5" t="s">
        <v>626</v>
      </c>
      <c r="L12" s="5" t="s">
        <v>266</v>
      </c>
      <c r="M12" s="5"/>
      <c r="N12" s="5" t="s">
        <v>25</v>
      </c>
      <c r="O12" s="5" t="s">
        <v>114</v>
      </c>
      <c r="P12" s="5" t="s">
        <v>92</v>
      </c>
      <c r="Q12" s="5" t="s">
        <v>116</v>
      </c>
      <c r="R12" s="5" t="s">
        <v>117</v>
      </c>
      <c r="S12" s="5"/>
      <c r="T12" s="5"/>
      <c r="U12" s="5" t="s">
        <v>267</v>
      </c>
      <c r="V12" s="5" t="s">
        <v>96</v>
      </c>
      <c r="W12" s="7"/>
      <c r="X12" s="7"/>
      <c r="Y12" s="7"/>
      <c r="Z12" s="7"/>
    </row>
    <row r="13" spans="1:26" ht="128" customHeight="1">
      <c r="A13" s="5" t="s">
        <v>268</v>
      </c>
      <c r="B13" s="5" t="s">
        <v>31</v>
      </c>
      <c r="C13" s="5" t="s">
        <v>32</v>
      </c>
      <c r="D13" s="5" t="s">
        <v>260</v>
      </c>
      <c r="E13" s="5" t="s">
        <v>261</v>
      </c>
      <c r="F13" s="5" t="s">
        <v>108</v>
      </c>
      <c r="G13" s="5" t="s">
        <v>269</v>
      </c>
      <c r="H13" s="5" t="s">
        <v>270</v>
      </c>
      <c r="I13" s="5" t="s">
        <v>208</v>
      </c>
      <c r="J13" s="5" t="s">
        <v>271</v>
      </c>
      <c r="K13" s="5" t="s">
        <v>627</v>
      </c>
      <c r="L13" s="5" t="s">
        <v>272</v>
      </c>
      <c r="M13" s="5"/>
      <c r="N13" s="5" t="s">
        <v>25</v>
      </c>
      <c r="O13" s="5" t="s">
        <v>273</v>
      </c>
      <c r="P13" s="5" t="s">
        <v>115</v>
      </c>
      <c r="Q13" s="5" t="s">
        <v>116</v>
      </c>
      <c r="R13" s="5" t="s">
        <v>117</v>
      </c>
      <c r="S13" s="5"/>
      <c r="T13" s="5"/>
      <c r="U13" s="5" t="s">
        <v>118</v>
      </c>
      <c r="V13" s="5" t="s">
        <v>96</v>
      </c>
      <c r="W13" s="7"/>
      <c r="X13" s="7"/>
      <c r="Y13" s="7"/>
      <c r="Z13" s="7"/>
    </row>
    <row r="14" spans="1:26" ht="128" customHeight="1">
      <c r="A14" s="5" t="s">
        <v>274</v>
      </c>
      <c r="B14" s="5" t="s">
        <v>31</v>
      </c>
      <c r="C14" s="5" t="s">
        <v>32</v>
      </c>
      <c r="D14" s="5" t="s">
        <v>275</v>
      </c>
      <c r="E14" s="5" t="s">
        <v>276</v>
      </c>
      <c r="F14" s="5" t="s">
        <v>130</v>
      </c>
      <c r="G14" s="5" t="s">
        <v>277</v>
      </c>
      <c r="H14" s="5" t="s">
        <v>278</v>
      </c>
      <c r="I14" s="5" t="s">
        <v>187</v>
      </c>
      <c r="J14" s="5" t="s">
        <v>279</v>
      </c>
      <c r="K14" s="5" t="s">
        <v>189</v>
      </c>
      <c r="L14" s="5" t="s">
        <v>280</v>
      </c>
      <c r="M14" s="5"/>
      <c r="N14" s="5" t="s">
        <v>25</v>
      </c>
      <c r="O14" s="5" t="s">
        <v>114</v>
      </c>
      <c r="P14" s="5" t="s">
        <v>197</v>
      </c>
      <c r="Q14" s="5" t="s">
        <v>116</v>
      </c>
      <c r="R14" s="5" t="s">
        <v>117</v>
      </c>
      <c r="S14" s="5"/>
      <c r="T14" s="5"/>
      <c r="U14" s="5" t="s">
        <v>281</v>
      </c>
      <c r="V14" s="5" t="s">
        <v>96</v>
      </c>
      <c r="W14" s="7"/>
      <c r="X14" s="7"/>
      <c r="Y14" s="7"/>
      <c r="Z14" s="7"/>
    </row>
    <row r="15" spans="1:26" ht="128" customHeight="1">
      <c r="A15" s="5" t="s">
        <v>282</v>
      </c>
      <c r="B15" s="5" t="s">
        <v>31</v>
      </c>
      <c r="C15" s="5" t="s">
        <v>32</v>
      </c>
      <c r="D15" s="5" t="s">
        <v>275</v>
      </c>
      <c r="E15" s="5" t="s">
        <v>276</v>
      </c>
      <c r="F15" s="5" t="s">
        <v>138</v>
      </c>
      <c r="G15" s="5" t="s">
        <v>283</v>
      </c>
      <c r="H15" s="5" t="s">
        <v>284</v>
      </c>
      <c r="I15" s="5" t="s">
        <v>285</v>
      </c>
      <c r="J15" s="5" t="s">
        <v>286</v>
      </c>
      <c r="K15" s="5" t="s">
        <v>287</v>
      </c>
      <c r="L15" s="5" t="s">
        <v>288</v>
      </c>
      <c r="M15" s="5"/>
      <c r="N15" s="5" t="s">
        <v>25</v>
      </c>
      <c r="O15" s="5" t="s">
        <v>91</v>
      </c>
      <c r="P15" s="5" t="s">
        <v>92</v>
      </c>
      <c r="Q15" s="5" t="s">
        <v>93</v>
      </c>
      <c r="R15" s="5" t="s">
        <v>94</v>
      </c>
      <c r="S15" s="5"/>
      <c r="T15" s="5"/>
      <c r="U15" s="5" t="s">
        <v>281</v>
      </c>
      <c r="V15" s="5" t="s">
        <v>96</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42" priority="1">
      <formula>N2="Pass"</formula>
    </cfRule>
  </conditionalFormatting>
  <conditionalFormatting sqref="N2:N15">
    <cfRule type="expression" dxfId="41" priority="2">
      <formula>N2="Fail"</formula>
    </cfRule>
  </conditionalFormatting>
  <conditionalFormatting sqref="N2:N15">
    <cfRule type="expression" dxfId="40" priority="3">
      <formula>N2="Blocked"</formula>
    </cfRule>
  </conditionalFormatting>
  <conditionalFormatting sqref="Q2:Q15">
    <cfRule type="expression" dxfId="39" priority="4">
      <formula>Q2="Yes"</formula>
    </cfRule>
  </conditionalFormatting>
  <conditionalFormatting sqref="Q2:Q15">
    <cfRule type="expression" dxfId="38" priority="5">
      <formula>Q2="Later"</formula>
    </cfRule>
  </conditionalFormatting>
  <conditionalFormatting sqref="Q2:Q15">
    <cfRule type="expression" dxfId="37" priority="6">
      <formula>Q2="No"</formula>
    </cfRule>
  </conditionalFormatting>
  <conditionalFormatting sqref="O2:O15">
    <cfRule type="expression" dxfId="36" priority="7">
      <formula>O2="High"</formula>
    </cfRule>
  </conditionalFormatting>
  <dataValidations count="4">
    <dataValidation type="list" allowBlank="1" sqref="R2:R15" xr:uid="{00000000-0002-0000-0200-000000000000}">
      <formula1>"P1,P2,P3,P4"</formula1>
    </dataValidation>
    <dataValidation type="list" allowBlank="1" sqref="O2:O15" xr:uid="{00000000-0002-0000-0200-000001000000}">
      <formula1>"High,Medium,Low"</formula1>
    </dataValidation>
    <dataValidation type="list" allowBlank="1" sqref="N2:N15" xr:uid="{00000000-0002-0000-0200-000002000000}">
      <formula1>"Not Run,Pass,Fail,Blocked,Retest"</formula1>
    </dataValidation>
    <dataValidation type="list" allowBlank="1" sqref="Q2:Q15" xr:uid="{00000000-0002-0000-0200-000003000000}">
      <formula1>"Yes,Later,No"</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M1" workbookViewId="0">
      <selection activeCell="L12" sqref="L12"/>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289</v>
      </c>
      <c r="B2" s="5" t="s">
        <v>34</v>
      </c>
      <c r="C2" s="5" t="s">
        <v>35</v>
      </c>
      <c r="D2" s="5" t="s">
        <v>290</v>
      </c>
      <c r="E2" s="5" t="s">
        <v>291</v>
      </c>
      <c r="F2" s="5" t="s">
        <v>130</v>
      </c>
      <c r="G2" s="5" t="s">
        <v>292</v>
      </c>
      <c r="H2" s="5" t="s">
        <v>293</v>
      </c>
      <c r="I2" s="5" t="s">
        <v>294</v>
      </c>
      <c r="J2" s="5" t="s">
        <v>295</v>
      </c>
      <c r="K2" s="5" t="s">
        <v>210</v>
      </c>
      <c r="L2" s="5" t="s">
        <v>296</v>
      </c>
      <c r="M2" s="5"/>
      <c r="N2" s="5" t="s">
        <v>25</v>
      </c>
      <c r="O2" s="5" t="s">
        <v>91</v>
      </c>
      <c r="P2" s="5" t="s">
        <v>92</v>
      </c>
      <c r="Q2" s="5" t="s">
        <v>116</v>
      </c>
      <c r="R2" s="5" t="s">
        <v>117</v>
      </c>
      <c r="S2" s="5"/>
      <c r="T2" s="5"/>
      <c r="U2" s="5" t="s">
        <v>297</v>
      </c>
      <c r="V2" s="5" t="s">
        <v>96</v>
      </c>
      <c r="W2" s="7"/>
      <c r="X2" s="7"/>
      <c r="Y2" s="7"/>
      <c r="Z2" s="7"/>
    </row>
    <row r="3" spans="1:26" ht="128" customHeight="1">
      <c r="A3" s="5" t="s">
        <v>298</v>
      </c>
      <c r="B3" s="5" t="s">
        <v>34</v>
      </c>
      <c r="C3" s="5" t="s">
        <v>35</v>
      </c>
      <c r="D3" s="5" t="s">
        <v>290</v>
      </c>
      <c r="E3" s="5" t="s">
        <v>291</v>
      </c>
      <c r="F3" s="5" t="s">
        <v>138</v>
      </c>
      <c r="G3" s="5" t="s">
        <v>299</v>
      </c>
      <c r="H3" s="5" t="s">
        <v>300</v>
      </c>
      <c r="I3" s="5" t="s">
        <v>301</v>
      </c>
      <c r="J3" s="5" t="s">
        <v>302</v>
      </c>
      <c r="K3" s="5" t="s">
        <v>303</v>
      </c>
      <c r="L3" s="5" t="s">
        <v>304</v>
      </c>
      <c r="M3" s="5"/>
      <c r="N3" s="5" t="s">
        <v>25</v>
      </c>
      <c r="O3" s="5" t="s">
        <v>91</v>
      </c>
      <c r="P3" s="5" t="s">
        <v>92</v>
      </c>
      <c r="Q3" s="5" t="s">
        <v>93</v>
      </c>
      <c r="R3" s="5" t="s">
        <v>94</v>
      </c>
      <c r="S3" s="5"/>
      <c r="T3" s="5"/>
      <c r="U3" s="5" t="s">
        <v>305</v>
      </c>
      <c r="V3" s="5" t="s">
        <v>96</v>
      </c>
      <c r="W3" s="7"/>
      <c r="X3" s="7"/>
      <c r="Y3" s="7"/>
      <c r="Z3" s="7"/>
    </row>
    <row r="4" spans="1:26" ht="128" customHeight="1">
      <c r="A4" s="5" t="s">
        <v>306</v>
      </c>
      <c r="B4" s="5" t="s">
        <v>34</v>
      </c>
      <c r="C4" s="5" t="s">
        <v>35</v>
      </c>
      <c r="D4" s="5" t="s">
        <v>290</v>
      </c>
      <c r="E4" s="5" t="s">
        <v>291</v>
      </c>
      <c r="F4" s="5" t="s">
        <v>138</v>
      </c>
      <c r="G4" s="5" t="s">
        <v>307</v>
      </c>
      <c r="H4" s="5" t="s">
        <v>308</v>
      </c>
      <c r="I4" s="5" t="s">
        <v>309</v>
      </c>
      <c r="J4" s="5" t="s">
        <v>310</v>
      </c>
      <c r="K4" s="5" t="s">
        <v>311</v>
      </c>
      <c r="L4" s="5" t="s">
        <v>312</v>
      </c>
      <c r="M4" s="5"/>
      <c r="N4" s="5" t="s">
        <v>25</v>
      </c>
      <c r="O4" s="5" t="s">
        <v>114</v>
      </c>
      <c r="P4" s="5" t="s">
        <v>313</v>
      </c>
      <c r="Q4" s="5" t="s">
        <v>116</v>
      </c>
      <c r="R4" s="5" t="s">
        <v>117</v>
      </c>
      <c r="S4" s="5"/>
      <c r="T4" s="5"/>
      <c r="U4" s="5" t="s">
        <v>305</v>
      </c>
      <c r="V4" s="5" t="s">
        <v>96</v>
      </c>
      <c r="W4" s="7"/>
      <c r="X4" s="7"/>
      <c r="Y4" s="7"/>
      <c r="Z4" s="7"/>
    </row>
    <row r="5" spans="1:26" ht="128" customHeight="1">
      <c r="A5" s="5" t="s">
        <v>314</v>
      </c>
      <c r="B5" s="5" t="s">
        <v>34</v>
      </c>
      <c r="C5" s="5" t="s">
        <v>35</v>
      </c>
      <c r="D5" s="5" t="s">
        <v>315</v>
      </c>
      <c r="E5" s="5" t="s">
        <v>316</v>
      </c>
      <c r="F5" s="5" t="s">
        <v>130</v>
      </c>
      <c r="G5" s="5" t="s">
        <v>317</v>
      </c>
      <c r="H5" s="5" t="s">
        <v>318</v>
      </c>
      <c r="I5" s="5" t="s">
        <v>208</v>
      </c>
      <c r="J5" s="5" t="s">
        <v>319</v>
      </c>
      <c r="K5" s="5" t="s">
        <v>320</v>
      </c>
      <c r="L5" s="5" t="s">
        <v>321</v>
      </c>
      <c r="M5" s="5"/>
      <c r="N5" s="5" t="s">
        <v>25</v>
      </c>
      <c r="O5" s="5" t="s">
        <v>91</v>
      </c>
      <c r="P5" s="5" t="s">
        <v>92</v>
      </c>
      <c r="Q5" s="5" t="s">
        <v>93</v>
      </c>
      <c r="R5" s="5" t="s">
        <v>94</v>
      </c>
      <c r="S5" s="5"/>
      <c r="T5" s="5"/>
      <c r="U5" s="5" t="s">
        <v>322</v>
      </c>
      <c r="V5" s="5" t="s">
        <v>96</v>
      </c>
      <c r="W5" s="7"/>
      <c r="X5" s="7"/>
      <c r="Y5" s="7"/>
      <c r="Z5" s="7"/>
    </row>
    <row r="6" spans="1:26" ht="128" customHeight="1">
      <c r="A6" s="5" t="s">
        <v>323</v>
      </c>
      <c r="B6" s="5" t="s">
        <v>34</v>
      </c>
      <c r="C6" s="5" t="s">
        <v>35</v>
      </c>
      <c r="D6" s="5" t="s">
        <v>315</v>
      </c>
      <c r="E6" s="5" t="s">
        <v>316</v>
      </c>
      <c r="F6" s="5" t="s">
        <v>130</v>
      </c>
      <c r="G6" s="5" t="s">
        <v>324</v>
      </c>
      <c r="H6" s="5" t="s">
        <v>325</v>
      </c>
      <c r="I6" s="5" t="s">
        <v>208</v>
      </c>
      <c r="J6" s="5" t="s">
        <v>326</v>
      </c>
      <c r="K6" s="5" t="s">
        <v>327</v>
      </c>
      <c r="L6" s="5" t="s">
        <v>328</v>
      </c>
      <c r="M6" s="5"/>
      <c r="N6" s="5" t="s">
        <v>25</v>
      </c>
      <c r="O6" s="5" t="s">
        <v>114</v>
      </c>
      <c r="P6" s="5" t="s">
        <v>92</v>
      </c>
      <c r="Q6" s="5" t="s">
        <v>116</v>
      </c>
      <c r="R6" s="5" t="s">
        <v>117</v>
      </c>
      <c r="S6" s="5"/>
      <c r="T6" s="5"/>
      <c r="U6" s="5" t="s">
        <v>329</v>
      </c>
      <c r="V6" s="5" t="s">
        <v>96</v>
      </c>
      <c r="W6" s="7"/>
      <c r="X6" s="7"/>
      <c r="Y6" s="7"/>
      <c r="Z6" s="7"/>
    </row>
    <row r="7" spans="1:26" ht="128" customHeight="1">
      <c r="A7" s="5" t="s">
        <v>330</v>
      </c>
      <c r="B7" s="5" t="s">
        <v>34</v>
      </c>
      <c r="C7" s="5" t="s">
        <v>35</v>
      </c>
      <c r="D7" s="5" t="s">
        <v>331</v>
      </c>
      <c r="E7" s="5" t="s">
        <v>332</v>
      </c>
      <c r="F7" s="5" t="s">
        <v>130</v>
      </c>
      <c r="G7" s="5" t="s">
        <v>333</v>
      </c>
      <c r="H7" s="5" t="s">
        <v>334</v>
      </c>
      <c r="I7" s="5" t="s">
        <v>335</v>
      </c>
      <c r="J7" s="5" t="s">
        <v>336</v>
      </c>
      <c r="K7" s="5" t="s">
        <v>337</v>
      </c>
      <c r="L7" s="5" t="s">
        <v>338</v>
      </c>
      <c r="M7" s="5"/>
      <c r="N7" s="5" t="s">
        <v>25</v>
      </c>
      <c r="O7" s="5" t="s">
        <v>91</v>
      </c>
      <c r="P7" s="5" t="s">
        <v>92</v>
      </c>
      <c r="Q7" s="5" t="s">
        <v>93</v>
      </c>
      <c r="R7" s="5" t="s">
        <v>94</v>
      </c>
      <c r="S7" s="5"/>
      <c r="T7" s="5"/>
      <c r="U7" s="5" t="s">
        <v>339</v>
      </c>
      <c r="V7" s="5" t="s">
        <v>96</v>
      </c>
      <c r="W7" s="7"/>
      <c r="X7" s="7"/>
      <c r="Y7" s="7"/>
      <c r="Z7" s="7"/>
    </row>
    <row r="8" spans="1:26" ht="128" customHeight="1">
      <c r="A8" s="5" t="s">
        <v>340</v>
      </c>
      <c r="B8" s="5" t="s">
        <v>34</v>
      </c>
      <c r="C8" s="5" t="s">
        <v>35</v>
      </c>
      <c r="D8" s="5" t="s">
        <v>331</v>
      </c>
      <c r="E8" s="5" t="s">
        <v>332</v>
      </c>
      <c r="F8" s="5" t="s">
        <v>130</v>
      </c>
      <c r="G8" s="5" t="s">
        <v>341</v>
      </c>
      <c r="H8" s="5" t="s">
        <v>342</v>
      </c>
      <c r="I8" s="5" t="s">
        <v>343</v>
      </c>
      <c r="J8" s="5" t="s">
        <v>344</v>
      </c>
      <c r="K8" s="5" t="s">
        <v>345</v>
      </c>
      <c r="L8" s="5" t="s">
        <v>346</v>
      </c>
      <c r="M8" s="5"/>
      <c r="N8" s="5" t="s">
        <v>25</v>
      </c>
      <c r="O8" s="5" t="s">
        <v>114</v>
      </c>
      <c r="P8" s="5" t="s">
        <v>313</v>
      </c>
      <c r="Q8" s="5" t="s">
        <v>116</v>
      </c>
      <c r="R8" s="5" t="s">
        <v>117</v>
      </c>
      <c r="S8" s="5"/>
      <c r="T8" s="5"/>
      <c r="U8" s="5" t="s">
        <v>347</v>
      </c>
      <c r="V8" s="5" t="s">
        <v>96</v>
      </c>
      <c r="W8" s="7"/>
      <c r="X8" s="7"/>
      <c r="Y8" s="7"/>
      <c r="Z8" s="7"/>
    </row>
    <row r="9" spans="1:26" ht="128" customHeight="1">
      <c r="A9" s="5" t="s">
        <v>348</v>
      </c>
      <c r="B9" s="5" t="s">
        <v>34</v>
      </c>
      <c r="C9" s="5" t="s">
        <v>35</v>
      </c>
      <c r="D9" s="5" t="s">
        <v>349</v>
      </c>
      <c r="E9" s="5" t="s">
        <v>350</v>
      </c>
      <c r="F9" s="5" t="s">
        <v>130</v>
      </c>
      <c r="G9" s="5" t="s">
        <v>351</v>
      </c>
      <c r="H9" s="5" t="s">
        <v>352</v>
      </c>
      <c r="I9" s="5" t="s">
        <v>353</v>
      </c>
      <c r="J9" s="5" t="s">
        <v>354</v>
      </c>
      <c r="K9" s="5" t="s">
        <v>628</v>
      </c>
      <c r="L9" s="5" t="s">
        <v>355</v>
      </c>
      <c r="M9" s="5"/>
      <c r="N9" s="5" t="s">
        <v>25</v>
      </c>
      <c r="O9" s="5" t="s">
        <v>91</v>
      </c>
      <c r="P9" s="5" t="s">
        <v>313</v>
      </c>
      <c r="Q9" s="5" t="s">
        <v>93</v>
      </c>
      <c r="R9" s="5" t="s">
        <v>94</v>
      </c>
      <c r="S9" s="5"/>
      <c r="T9" s="5"/>
      <c r="U9" s="5" t="s">
        <v>356</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35" priority="1">
      <formula>N2="Pass"</formula>
    </cfRule>
  </conditionalFormatting>
  <conditionalFormatting sqref="N2:N9">
    <cfRule type="expression" dxfId="34" priority="2">
      <formula>N2="Fail"</formula>
    </cfRule>
  </conditionalFormatting>
  <conditionalFormatting sqref="N2:N9">
    <cfRule type="expression" dxfId="33" priority="3">
      <formula>N2="Blocked"</formula>
    </cfRule>
  </conditionalFormatting>
  <conditionalFormatting sqref="Q2:Q9">
    <cfRule type="expression" dxfId="32" priority="4">
      <formula>Q2="Yes"</formula>
    </cfRule>
  </conditionalFormatting>
  <conditionalFormatting sqref="Q2:Q9">
    <cfRule type="expression" dxfId="31" priority="5">
      <formula>Q2="Later"</formula>
    </cfRule>
  </conditionalFormatting>
  <conditionalFormatting sqref="Q2:Q9">
    <cfRule type="expression" dxfId="30" priority="6">
      <formula>Q2="No"</formula>
    </cfRule>
  </conditionalFormatting>
  <conditionalFormatting sqref="O2:O9">
    <cfRule type="expression" dxfId="29" priority="7">
      <formula>O2="High"</formula>
    </cfRule>
  </conditionalFormatting>
  <dataValidations count="4">
    <dataValidation type="list" allowBlank="1" sqref="R2:R9" xr:uid="{00000000-0002-0000-0300-000000000000}">
      <formula1>"P1,P2,P3,P4"</formula1>
    </dataValidation>
    <dataValidation type="list" allowBlank="1" sqref="O2:O9" xr:uid="{00000000-0002-0000-0300-000001000000}">
      <formula1>"High,Medium,Low"</formula1>
    </dataValidation>
    <dataValidation type="list" allowBlank="1" sqref="N2:N9" xr:uid="{00000000-0002-0000-0300-000002000000}">
      <formula1>"Not Run,Pass,Fail,Blocked,Retest"</formula1>
    </dataValidation>
    <dataValidation type="list" allowBlank="1" sqref="Q2:Q9" xr:uid="{00000000-0002-0000-0300-000003000000}">
      <formula1>"Yes,Later,No"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L1" workbookViewId="0">
      <selection activeCell="R1" sqref="R1"/>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357</v>
      </c>
      <c r="B2" s="5" t="s">
        <v>37</v>
      </c>
      <c r="C2" s="5" t="s">
        <v>38</v>
      </c>
      <c r="D2" s="5" t="s">
        <v>358</v>
      </c>
      <c r="E2" s="5" t="s">
        <v>359</v>
      </c>
      <c r="F2" s="5" t="s">
        <v>85</v>
      </c>
      <c r="G2" s="5" t="s">
        <v>360</v>
      </c>
      <c r="H2" s="5" t="s">
        <v>361</v>
      </c>
      <c r="I2" s="5" t="s">
        <v>362</v>
      </c>
      <c r="J2" s="5" t="s">
        <v>363</v>
      </c>
      <c r="K2" s="5" t="s">
        <v>629</v>
      </c>
      <c r="L2" s="5" t="s">
        <v>364</v>
      </c>
      <c r="M2" s="5"/>
      <c r="N2" s="5" t="s">
        <v>25</v>
      </c>
      <c r="O2" s="5" t="s">
        <v>91</v>
      </c>
      <c r="P2" s="5" t="s">
        <v>365</v>
      </c>
      <c r="Q2" s="5" t="s">
        <v>93</v>
      </c>
      <c r="R2" s="5" t="s">
        <v>94</v>
      </c>
      <c r="S2" s="5"/>
      <c r="T2" s="5"/>
      <c r="U2" s="5" t="s">
        <v>366</v>
      </c>
      <c r="V2" s="5" t="s">
        <v>96</v>
      </c>
      <c r="W2" s="7"/>
      <c r="X2" s="7"/>
      <c r="Y2" s="7"/>
      <c r="Z2" s="7"/>
    </row>
    <row r="3" spans="1:26" ht="128" customHeight="1">
      <c r="A3" s="5" t="s">
        <v>367</v>
      </c>
      <c r="B3" s="5" t="s">
        <v>37</v>
      </c>
      <c r="C3" s="5" t="s">
        <v>38</v>
      </c>
      <c r="D3" s="5" t="s">
        <v>368</v>
      </c>
      <c r="E3" s="5" t="s">
        <v>369</v>
      </c>
      <c r="F3" s="5" t="s">
        <v>130</v>
      </c>
      <c r="G3" s="5" t="s">
        <v>370</v>
      </c>
      <c r="H3" s="5" t="s">
        <v>371</v>
      </c>
      <c r="I3" s="5" t="s">
        <v>372</v>
      </c>
      <c r="J3" s="5" t="s">
        <v>373</v>
      </c>
      <c r="K3" s="5" t="s">
        <v>614</v>
      </c>
      <c r="L3" s="5" t="s">
        <v>374</v>
      </c>
      <c r="M3" s="5"/>
      <c r="N3" s="5" t="s">
        <v>25</v>
      </c>
      <c r="O3" s="5" t="s">
        <v>91</v>
      </c>
      <c r="P3" s="5" t="s">
        <v>365</v>
      </c>
      <c r="Q3" s="5" t="s">
        <v>93</v>
      </c>
      <c r="R3" s="5" t="s">
        <v>94</v>
      </c>
      <c r="S3" s="5"/>
      <c r="T3" s="5"/>
      <c r="U3" s="5" t="s">
        <v>375</v>
      </c>
      <c r="V3" s="5" t="s">
        <v>96</v>
      </c>
      <c r="W3" s="7"/>
      <c r="X3" s="7"/>
      <c r="Y3" s="7"/>
      <c r="Z3" s="7"/>
    </row>
    <row r="4" spans="1:26" ht="128" customHeight="1">
      <c r="A4" s="5" t="s">
        <v>376</v>
      </c>
      <c r="B4" s="5" t="s">
        <v>37</v>
      </c>
      <c r="C4" s="5" t="s">
        <v>38</v>
      </c>
      <c r="D4" s="5" t="s">
        <v>377</v>
      </c>
      <c r="E4" s="5" t="s">
        <v>378</v>
      </c>
      <c r="F4" s="5" t="s">
        <v>130</v>
      </c>
      <c r="G4" s="5" t="s">
        <v>379</v>
      </c>
      <c r="H4" s="5" t="s">
        <v>380</v>
      </c>
      <c r="I4" s="5" t="s">
        <v>381</v>
      </c>
      <c r="J4" s="5" t="s">
        <v>382</v>
      </c>
      <c r="K4" s="5" t="s">
        <v>630</v>
      </c>
      <c r="L4" s="5" t="s">
        <v>383</v>
      </c>
      <c r="M4" s="5"/>
      <c r="N4" s="5" t="s">
        <v>25</v>
      </c>
      <c r="O4" s="5" t="s">
        <v>91</v>
      </c>
      <c r="P4" s="5" t="s">
        <v>384</v>
      </c>
      <c r="Q4" s="5" t="s">
        <v>93</v>
      </c>
      <c r="R4" s="5" t="s">
        <v>94</v>
      </c>
      <c r="S4" s="5"/>
      <c r="T4" s="5"/>
      <c r="U4" s="5" t="s">
        <v>385</v>
      </c>
      <c r="V4" s="5" t="s">
        <v>96</v>
      </c>
      <c r="W4" s="7"/>
      <c r="X4" s="7"/>
      <c r="Y4" s="7"/>
      <c r="Z4" s="7"/>
    </row>
    <row r="5" spans="1:26" ht="128" customHeight="1">
      <c r="A5" s="5" t="s">
        <v>386</v>
      </c>
      <c r="B5" s="5" t="s">
        <v>37</v>
      </c>
      <c r="C5" s="5" t="s">
        <v>38</v>
      </c>
      <c r="D5" s="5" t="s">
        <v>377</v>
      </c>
      <c r="E5" s="5" t="s">
        <v>378</v>
      </c>
      <c r="F5" s="5" t="s">
        <v>138</v>
      </c>
      <c r="G5" s="5" t="s">
        <v>387</v>
      </c>
      <c r="H5" s="5" t="s">
        <v>388</v>
      </c>
      <c r="I5" s="5" t="s">
        <v>381</v>
      </c>
      <c r="J5" s="5" t="s">
        <v>389</v>
      </c>
      <c r="K5" s="5" t="s">
        <v>630</v>
      </c>
      <c r="L5" s="5" t="s">
        <v>390</v>
      </c>
      <c r="M5" s="5"/>
      <c r="N5" s="5" t="s">
        <v>25</v>
      </c>
      <c r="O5" s="5" t="s">
        <v>91</v>
      </c>
      <c r="P5" s="5" t="s">
        <v>384</v>
      </c>
      <c r="Q5" s="5" t="s">
        <v>116</v>
      </c>
      <c r="R5" s="5" t="s">
        <v>117</v>
      </c>
      <c r="S5" s="5"/>
      <c r="T5" s="5"/>
      <c r="U5" s="5" t="s">
        <v>385</v>
      </c>
      <c r="V5" s="5" t="s">
        <v>96</v>
      </c>
      <c r="W5" s="7"/>
      <c r="X5" s="7"/>
      <c r="Y5" s="7"/>
      <c r="Z5" s="7"/>
    </row>
    <row r="6" spans="1:26" ht="128" customHeight="1">
      <c r="A6" s="5" t="s">
        <v>391</v>
      </c>
      <c r="B6" s="5" t="s">
        <v>37</v>
      </c>
      <c r="C6" s="5" t="s">
        <v>38</v>
      </c>
      <c r="D6" s="5" t="s">
        <v>392</v>
      </c>
      <c r="E6" s="5" t="s">
        <v>393</v>
      </c>
      <c r="F6" s="5" t="s">
        <v>85</v>
      </c>
      <c r="G6" s="5" t="s">
        <v>394</v>
      </c>
      <c r="H6" s="5" t="s">
        <v>395</v>
      </c>
      <c r="I6" s="5" t="s">
        <v>396</v>
      </c>
      <c r="J6" s="5" t="s">
        <v>397</v>
      </c>
      <c r="K6" s="5" t="s">
        <v>631</v>
      </c>
      <c r="L6" s="5" t="s">
        <v>398</v>
      </c>
      <c r="M6" s="5"/>
      <c r="N6" s="5" t="s">
        <v>25</v>
      </c>
      <c r="O6" s="5" t="s">
        <v>91</v>
      </c>
      <c r="P6" s="5" t="s">
        <v>365</v>
      </c>
      <c r="Q6" s="5" t="s">
        <v>93</v>
      </c>
      <c r="R6" s="5" t="s">
        <v>94</v>
      </c>
      <c r="S6" s="5"/>
      <c r="T6" s="5"/>
      <c r="U6" s="5" t="s">
        <v>375</v>
      </c>
      <c r="V6" s="5" t="s">
        <v>96</v>
      </c>
      <c r="W6" s="7"/>
      <c r="X6" s="7"/>
      <c r="Y6" s="7"/>
      <c r="Z6" s="7"/>
    </row>
    <row r="7" spans="1:26" ht="128" customHeight="1">
      <c r="A7" s="5" t="s">
        <v>399</v>
      </c>
      <c r="B7" s="5" t="s">
        <v>37</v>
      </c>
      <c r="C7" s="5" t="s">
        <v>38</v>
      </c>
      <c r="D7" s="5" t="s">
        <v>392</v>
      </c>
      <c r="E7" s="5" t="s">
        <v>393</v>
      </c>
      <c r="F7" s="5" t="s">
        <v>108</v>
      </c>
      <c r="G7" s="5" t="s">
        <v>400</v>
      </c>
      <c r="H7" s="5" t="s">
        <v>401</v>
      </c>
      <c r="I7" s="5" t="s">
        <v>402</v>
      </c>
      <c r="J7" s="5" t="s">
        <v>403</v>
      </c>
      <c r="K7" s="5" t="s">
        <v>632</v>
      </c>
      <c r="L7" s="5" t="s">
        <v>404</v>
      </c>
      <c r="M7" s="5"/>
      <c r="N7" s="5" t="s">
        <v>25</v>
      </c>
      <c r="O7" s="5" t="s">
        <v>114</v>
      </c>
      <c r="P7" s="5" t="s">
        <v>115</v>
      </c>
      <c r="Q7" s="5" t="s">
        <v>116</v>
      </c>
      <c r="R7" s="5" t="s">
        <v>117</v>
      </c>
      <c r="S7" s="5"/>
      <c r="T7" s="5"/>
      <c r="U7" s="5" t="s">
        <v>118</v>
      </c>
      <c r="V7" s="5" t="s">
        <v>96</v>
      </c>
      <c r="W7" s="7"/>
      <c r="X7" s="7"/>
      <c r="Y7" s="7"/>
      <c r="Z7" s="7"/>
    </row>
    <row r="8" spans="1:26" ht="128" customHeight="1">
      <c r="A8" s="5" t="s">
        <v>405</v>
      </c>
      <c r="B8" s="5" t="s">
        <v>37</v>
      </c>
      <c r="C8" s="5" t="s">
        <v>38</v>
      </c>
      <c r="D8" s="5" t="s">
        <v>406</v>
      </c>
      <c r="E8" s="5" t="s">
        <v>407</v>
      </c>
      <c r="F8" s="5" t="s">
        <v>130</v>
      </c>
      <c r="G8" s="5" t="s">
        <v>408</v>
      </c>
      <c r="H8" s="5" t="s">
        <v>409</v>
      </c>
      <c r="I8" s="5" t="s">
        <v>410</v>
      </c>
      <c r="J8" s="5" t="s">
        <v>411</v>
      </c>
      <c r="K8" s="5" t="s">
        <v>412</v>
      </c>
      <c r="L8" s="5" t="s">
        <v>413</v>
      </c>
      <c r="M8" s="5"/>
      <c r="N8" s="5" t="s">
        <v>25</v>
      </c>
      <c r="O8" s="5" t="s">
        <v>91</v>
      </c>
      <c r="P8" s="5" t="s">
        <v>414</v>
      </c>
      <c r="Q8" s="5" t="s">
        <v>93</v>
      </c>
      <c r="R8" s="5" t="s">
        <v>94</v>
      </c>
      <c r="S8" s="5"/>
      <c r="T8" s="5"/>
      <c r="U8" s="5" t="s">
        <v>415</v>
      </c>
      <c r="V8" s="5" t="s">
        <v>96</v>
      </c>
      <c r="W8" s="7"/>
      <c r="X8" s="7"/>
      <c r="Y8" s="7"/>
      <c r="Z8" s="7"/>
    </row>
    <row r="9" spans="1:26" ht="128" customHeight="1">
      <c r="A9" s="5" t="s">
        <v>416</v>
      </c>
      <c r="B9" s="5" t="s">
        <v>37</v>
      </c>
      <c r="C9" s="5" t="s">
        <v>38</v>
      </c>
      <c r="D9" s="5" t="s">
        <v>406</v>
      </c>
      <c r="E9" s="5" t="s">
        <v>407</v>
      </c>
      <c r="F9" s="5" t="s">
        <v>138</v>
      </c>
      <c r="G9" s="5" t="s">
        <v>417</v>
      </c>
      <c r="H9" s="5" t="s">
        <v>418</v>
      </c>
      <c r="I9" s="5" t="s">
        <v>419</v>
      </c>
      <c r="J9" s="5" t="s">
        <v>420</v>
      </c>
      <c r="K9" s="5" t="s">
        <v>189</v>
      </c>
      <c r="L9" s="5" t="s">
        <v>421</v>
      </c>
      <c r="M9" s="5"/>
      <c r="N9" s="5" t="s">
        <v>25</v>
      </c>
      <c r="O9" s="5" t="s">
        <v>114</v>
      </c>
      <c r="P9" s="5" t="s">
        <v>422</v>
      </c>
      <c r="Q9" s="5" t="s">
        <v>116</v>
      </c>
      <c r="R9" s="5" t="s">
        <v>117</v>
      </c>
      <c r="S9" s="5"/>
      <c r="T9" s="5"/>
      <c r="U9" s="5" t="s">
        <v>415</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28" priority="1">
      <formula>N2="Pass"</formula>
    </cfRule>
  </conditionalFormatting>
  <conditionalFormatting sqref="N2:N9">
    <cfRule type="expression" dxfId="27" priority="2">
      <formula>N2="Fail"</formula>
    </cfRule>
  </conditionalFormatting>
  <conditionalFormatting sqref="N2:N9">
    <cfRule type="expression" dxfId="26" priority="3">
      <formula>N2="Blocked"</formula>
    </cfRule>
  </conditionalFormatting>
  <conditionalFormatting sqref="Q2:Q9">
    <cfRule type="expression" dxfId="25" priority="4">
      <formula>Q2="Yes"</formula>
    </cfRule>
  </conditionalFormatting>
  <conditionalFormatting sqref="Q2:Q9">
    <cfRule type="expression" dxfId="24" priority="5">
      <formula>Q2="Later"</formula>
    </cfRule>
  </conditionalFormatting>
  <conditionalFormatting sqref="Q2:Q9">
    <cfRule type="expression" dxfId="23" priority="6">
      <formula>Q2="No"</formula>
    </cfRule>
  </conditionalFormatting>
  <conditionalFormatting sqref="O2:O9">
    <cfRule type="expression" dxfId="22" priority="7">
      <formula>O2="High"</formula>
    </cfRule>
  </conditionalFormatting>
  <dataValidations count="4">
    <dataValidation type="list" allowBlank="1" sqref="R2:R9" xr:uid="{00000000-0002-0000-0400-000000000000}">
      <formula1>"P1,P2,P3,P4"</formula1>
    </dataValidation>
    <dataValidation type="list" allowBlank="1" sqref="O2:O9" xr:uid="{00000000-0002-0000-0400-000001000000}">
      <formula1>"High,Medium,Low"</formula1>
    </dataValidation>
    <dataValidation type="list" allowBlank="1" sqref="N2:N9" xr:uid="{00000000-0002-0000-0400-000002000000}">
      <formula1>"Not Run,Pass,Fail,Blocked,Retest"</formula1>
    </dataValidation>
    <dataValidation type="list" allowBlank="1" sqref="Q2:Q9" xr:uid="{00000000-0002-0000-0400-000003000000}">
      <formula1>"Yes,Later,No"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abSelected="1" topLeftCell="L5" workbookViewId="0">
      <selection activeCell="Q7" sqref="Q7"/>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423</v>
      </c>
      <c r="B2" s="5" t="s">
        <v>40</v>
      </c>
      <c r="C2" s="5" t="s">
        <v>41</v>
      </c>
      <c r="D2" s="5" t="s">
        <v>424</v>
      </c>
      <c r="E2" s="5" t="s">
        <v>425</v>
      </c>
      <c r="F2" s="5" t="s">
        <v>130</v>
      </c>
      <c r="G2" s="5" t="s">
        <v>426</v>
      </c>
      <c r="H2" s="5" t="s">
        <v>427</v>
      </c>
      <c r="I2" s="5" t="s">
        <v>187</v>
      </c>
      <c r="J2" s="5" t="s">
        <v>428</v>
      </c>
      <c r="K2" s="5" t="s">
        <v>633</v>
      </c>
      <c r="L2" s="5" t="s">
        <v>429</v>
      </c>
      <c r="M2" s="5"/>
      <c r="N2" s="5" t="s">
        <v>25</v>
      </c>
      <c r="O2" s="5" t="s">
        <v>114</v>
      </c>
      <c r="P2" s="5" t="s">
        <v>92</v>
      </c>
      <c r="Q2" s="5" t="s">
        <v>93</v>
      </c>
      <c r="R2" s="5" t="s">
        <v>94</v>
      </c>
      <c r="S2" s="5"/>
      <c r="T2" s="5"/>
      <c r="U2" s="5" t="s">
        <v>430</v>
      </c>
      <c r="V2" s="5" t="s">
        <v>96</v>
      </c>
      <c r="W2" s="7"/>
      <c r="X2" s="7"/>
      <c r="Y2" s="7"/>
      <c r="Z2" s="7"/>
    </row>
    <row r="3" spans="1:26" ht="128" customHeight="1">
      <c r="A3" s="5" t="s">
        <v>431</v>
      </c>
      <c r="B3" s="5" t="s">
        <v>40</v>
      </c>
      <c r="C3" s="5" t="s">
        <v>41</v>
      </c>
      <c r="D3" s="5" t="s">
        <v>424</v>
      </c>
      <c r="E3" s="5" t="s">
        <v>425</v>
      </c>
      <c r="F3" s="5" t="s">
        <v>130</v>
      </c>
      <c r="G3" s="5" t="s">
        <v>432</v>
      </c>
      <c r="H3" s="5" t="s">
        <v>433</v>
      </c>
      <c r="I3" s="5" t="s">
        <v>434</v>
      </c>
      <c r="J3" s="5" t="s">
        <v>435</v>
      </c>
      <c r="K3" s="5" t="s">
        <v>634</v>
      </c>
      <c r="L3" s="5" t="s">
        <v>436</v>
      </c>
      <c r="M3" s="5"/>
      <c r="N3" s="6" t="s">
        <v>25</v>
      </c>
      <c r="O3" s="5" t="s">
        <v>273</v>
      </c>
      <c r="P3" s="5" t="s">
        <v>92</v>
      </c>
      <c r="Q3" s="5" t="s">
        <v>116</v>
      </c>
      <c r="R3" s="5" t="s">
        <v>117</v>
      </c>
      <c r="S3" s="5"/>
      <c r="T3" s="5"/>
      <c r="U3" s="5" t="s">
        <v>437</v>
      </c>
      <c r="V3" s="5" t="s">
        <v>96</v>
      </c>
      <c r="W3" s="7"/>
      <c r="X3" s="7"/>
      <c r="Y3" s="7"/>
      <c r="Z3" s="7"/>
    </row>
    <row r="4" spans="1:26" ht="128" customHeight="1">
      <c r="A4" s="5" t="s">
        <v>438</v>
      </c>
      <c r="B4" s="5" t="s">
        <v>40</v>
      </c>
      <c r="C4" s="5" t="s">
        <v>41</v>
      </c>
      <c r="D4" s="5" t="s">
        <v>424</v>
      </c>
      <c r="E4" s="5" t="s">
        <v>425</v>
      </c>
      <c r="F4" s="5" t="s">
        <v>108</v>
      </c>
      <c r="G4" s="5" t="s">
        <v>439</v>
      </c>
      <c r="H4" s="5" t="s">
        <v>440</v>
      </c>
      <c r="I4" s="5" t="s">
        <v>434</v>
      </c>
      <c r="J4" s="5" t="s">
        <v>441</v>
      </c>
      <c r="K4" s="5" t="s">
        <v>635</v>
      </c>
      <c r="L4" s="5" t="s">
        <v>272</v>
      </c>
      <c r="M4" s="5"/>
      <c r="N4" s="6" t="s">
        <v>25</v>
      </c>
      <c r="O4" s="5" t="s">
        <v>273</v>
      </c>
      <c r="P4" s="5" t="s">
        <v>115</v>
      </c>
      <c r="Q4" s="5" t="s">
        <v>116</v>
      </c>
      <c r="R4" s="5" t="s">
        <v>117</v>
      </c>
      <c r="S4" s="5"/>
      <c r="T4" s="5"/>
      <c r="U4" s="5" t="s">
        <v>118</v>
      </c>
      <c r="V4" s="5" t="s">
        <v>96</v>
      </c>
      <c r="W4" s="7"/>
      <c r="X4" s="7"/>
      <c r="Y4" s="7"/>
      <c r="Z4" s="7"/>
    </row>
    <row r="5" spans="1:26" ht="128" customHeight="1">
      <c r="A5" s="5" t="s">
        <v>442</v>
      </c>
      <c r="B5" s="5" t="s">
        <v>40</v>
      </c>
      <c r="C5" s="5" t="s">
        <v>41</v>
      </c>
      <c r="D5" s="5" t="s">
        <v>443</v>
      </c>
      <c r="E5" s="5" t="s">
        <v>444</v>
      </c>
      <c r="F5" s="5" t="s">
        <v>130</v>
      </c>
      <c r="G5" s="5" t="s">
        <v>445</v>
      </c>
      <c r="H5" s="5" t="s">
        <v>446</v>
      </c>
      <c r="I5" s="5" t="s">
        <v>187</v>
      </c>
      <c r="J5" s="5" t="s">
        <v>447</v>
      </c>
      <c r="K5" s="5" t="s">
        <v>636</v>
      </c>
      <c r="L5" s="5" t="s">
        <v>448</v>
      </c>
      <c r="M5" s="5"/>
      <c r="N5" s="6" t="s">
        <v>25</v>
      </c>
      <c r="O5" s="5" t="s">
        <v>114</v>
      </c>
      <c r="P5" s="5" t="s">
        <v>92</v>
      </c>
      <c r="Q5" s="5" t="s">
        <v>93</v>
      </c>
      <c r="R5" s="5" t="s">
        <v>94</v>
      </c>
      <c r="S5" s="5"/>
      <c r="T5" s="5"/>
      <c r="U5" s="5" t="s">
        <v>449</v>
      </c>
      <c r="V5" s="5" t="s">
        <v>96</v>
      </c>
      <c r="W5" s="7"/>
      <c r="X5" s="7"/>
      <c r="Y5" s="7"/>
      <c r="Z5" s="7"/>
    </row>
    <row r="6" spans="1:26" ht="128" customHeight="1">
      <c r="A6" s="5" t="s">
        <v>450</v>
      </c>
      <c r="B6" s="5" t="s">
        <v>40</v>
      </c>
      <c r="C6" s="5" t="s">
        <v>41</v>
      </c>
      <c r="D6" s="5" t="s">
        <v>443</v>
      </c>
      <c r="E6" s="5" t="s">
        <v>444</v>
      </c>
      <c r="F6" s="5" t="s">
        <v>138</v>
      </c>
      <c r="G6" s="5" t="s">
        <v>451</v>
      </c>
      <c r="H6" s="5" t="s">
        <v>452</v>
      </c>
      <c r="I6" s="5" t="s">
        <v>453</v>
      </c>
      <c r="J6" s="5" t="s">
        <v>447</v>
      </c>
      <c r="K6" s="5" t="s">
        <v>637</v>
      </c>
      <c r="L6" s="5" t="s">
        <v>448</v>
      </c>
      <c r="M6" s="5"/>
      <c r="N6" s="6" t="s">
        <v>25</v>
      </c>
      <c r="O6" s="5" t="s">
        <v>114</v>
      </c>
      <c r="P6" s="5" t="s">
        <v>92</v>
      </c>
      <c r="Q6" s="5" t="s">
        <v>116</v>
      </c>
      <c r="R6" s="5" t="s">
        <v>117</v>
      </c>
      <c r="S6" s="5"/>
      <c r="T6" s="5"/>
      <c r="U6" s="5" t="s">
        <v>454</v>
      </c>
      <c r="V6" s="5" t="s">
        <v>96</v>
      </c>
      <c r="W6" s="7"/>
      <c r="X6" s="7"/>
      <c r="Y6" s="7"/>
      <c r="Z6" s="7"/>
    </row>
    <row r="7" spans="1:26" ht="128" customHeight="1">
      <c r="A7" s="5" t="s">
        <v>455</v>
      </c>
      <c r="B7" s="5" t="s">
        <v>40</v>
      </c>
      <c r="C7" s="5" t="s">
        <v>41</v>
      </c>
      <c r="D7" s="5" t="s">
        <v>443</v>
      </c>
      <c r="E7" s="5" t="s">
        <v>444</v>
      </c>
      <c r="F7" s="5" t="s">
        <v>108</v>
      </c>
      <c r="G7" s="5" t="s">
        <v>456</v>
      </c>
      <c r="H7" s="5" t="s">
        <v>457</v>
      </c>
      <c r="I7" s="5" t="s">
        <v>458</v>
      </c>
      <c r="J7" s="5" t="s">
        <v>459</v>
      </c>
      <c r="K7" s="5" t="s">
        <v>638</v>
      </c>
      <c r="L7" s="5" t="s">
        <v>460</v>
      </c>
      <c r="M7" s="5"/>
      <c r="N7" s="6" t="s">
        <v>25</v>
      </c>
      <c r="O7" s="5" t="s">
        <v>273</v>
      </c>
      <c r="P7" s="5" t="s">
        <v>115</v>
      </c>
      <c r="Q7" s="5" t="s">
        <v>116</v>
      </c>
      <c r="R7" s="5" t="s">
        <v>117</v>
      </c>
      <c r="S7" s="5"/>
      <c r="T7" s="5"/>
      <c r="U7" s="5" t="s">
        <v>118</v>
      </c>
      <c r="V7" s="5" t="s">
        <v>96</v>
      </c>
      <c r="W7" s="7"/>
      <c r="X7" s="7"/>
      <c r="Y7" s="7"/>
      <c r="Z7"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7">
    <cfRule type="expression" dxfId="21" priority="1">
      <formula>N2="Pass"</formula>
    </cfRule>
  </conditionalFormatting>
  <conditionalFormatting sqref="N2:N7">
    <cfRule type="expression" dxfId="20" priority="2">
      <formula>N2="Fail"</formula>
    </cfRule>
  </conditionalFormatting>
  <conditionalFormatting sqref="N2:N7">
    <cfRule type="expression" dxfId="19" priority="3">
      <formula>N2="Blocked"</formula>
    </cfRule>
  </conditionalFormatting>
  <conditionalFormatting sqref="Q2:Q7">
    <cfRule type="expression" dxfId="18" priority="4">
      <formula>Q2="Yes"</formula>
    </cfRule>
  </conditionalFormatting>
  <conditionalFormatting sqref="Q2:Q7">
    <cfRule type="expression" dxfId="17" priority="5">
      <formula>Q2="Later"</formula>
    </cfRule>
  </conditionalFormatting>
  <conditionalFormatting sqref="Q2:Q7">
    <cfRule type="expression" dxfId="16" priority="6">
      <formula>Q2="No"</formula>
    </cfRule>
  </conditionalFormatting>
  <conditionalFormatting sqref="O2:O7">
    <cfRule type="expression" dxfId="15" priority="7">
      <formula>O2="High"</formula>
    </cfRule>
  </conditionalFormatting>
  <dataValidations count="4">
    <dataValidation type="list" allowBlank="1" sqref="R2:R7" xr:uid="{00000000-0002-0000-0500-000000000000}">
      <formula1>"P1,P2,P3,P4"</formula1>
    </dataValidation>
    <dataValidation type="list" allowBlank="1" sqref="O2:O7" xr:uid="{00000000-0002-0000-0500-000001000000}">
      <formula1>"High,Medium,Low"</formula1>
    </dataValidation>
    <dataValidation type="list" allowBlank="1" sqref="N2:N7" xr:uid="{00000000-0002-0000-0500-000002000000}">
      <formula1>"Not Run,Pass,Fail,Blocked,Retest"</formula1>
    </dataValidation>
    <dataValidation type="list" allowBlank="1" sqref="Q2:Q7" xr:uid="{00000000-0002-0000-0500-000003000000}">
      <formula1>"Yes,Later,No"</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461</v>
      </c>
      <c r="B2" s="5" t="s">
        <v>43</v>
      </c>
      <c r="C2" s="5" t="s">
        <v>44</v>
      </c>
      <c r="D2" s="5" t="s">
        <v>462</v>
      </c>
      <c r="E2" s="5" t="s">
        <v>463</v>
      </c>
      <c r="F2" s="5" t="s">
        <v>130</v>
      </c>
      <c r="G2" s="5" t="s">
        <v>464</v>
      </c>
      <c r="H2" s="5" t="s">
        <v>465</v>
      </c>
      <c r="I2" s="5" t="s">
        <v>187</v>
      </c>
      <c r="J2" s="5" t="s">
        <v>466</v>
      </c>
      <c r="K2" s="5" t="s">
        <v>189</v>
      </c>
      <c r="L2" s="5" t="s">
        <v>467</v>
      </c>
      <c r="M2" s="5"/>
      <c r="N2" s="5" t="s">
        <v>24</v>
      </c>
      <c r="O2" s="5" t="s">
        <v>114</v>
      </c>
      <c r="P2" s="5" t="s">
        <v>422</v>
      </c>
      <c r="Q2" s="5" t="s">
        <v>93</v>
      </c>
      <c r="R2" s="5" t="s">
        <v>94</v>
      </c>
      <c r="S2" s="5"/>
      <c r="T2" s="5"/>
      <c r="U2" s="5" t="s">
        <v>468</v>
      </c>
      <c r="V2" s="5" t="s">
        <v>96</v>
      </c>
      <c r="W2" s="7"/>
      <c r="X2" s="7"/>
      <c r="Y2" s="7"/>
      <c r="Z2" s="7"/>
    </row>
    <row r="3" spans="1:26" ht="128" customHeight="1">
      <c r="A3" s="5" t="s">
        <v>469</v>
      </c>
      <c r="B3" s="5" t="s">
        <v>43</v>
      </c>
      <c r="C3" s="5" t="s">
        <v>44</v>
      </c>
      <c r="D3" s="5" t="s">
        <v>470</v>
      </c>
      <c r="E3" s="5" t="s">
        <v>471</v>
      </c>
      <c r="F3" s="5" t="s">
        <v>130</v>
      </c>
      <c r="G3" s="5" t="s">
        <v>472</v>
      </c>
      <c r="H3" s="5" t="s">
        <v>473</v>
      </c>
      <c r="I3" s="5" t="s">
        <v>187</v>
      </c>
      <c r="J3" s="5" t="s">
        <v>474</v>
      </c>
      <c r="K3" s="5" t="s">
        <v>189</v>
      </c>
      <c r="L3" s="5" t="s">
        <v>475</v>
      </c>
      <c r="M3" s="5"/>
      <c r="N3" s="5" t="s">
        <v>24</v>
      </c>
      <c r="O3" s="5" t="s">
        <v>273</v>
      </c>
      <c r="P3" s="5" t="s">
        <v>197</v>
      </c>
      <c r="Q3" s="5" t="s">
        <v>476</v>
      </c>
      <c r="R3" s="5"/>
      <c r="S3" s="5"/>
      <c r="T3" s="5"/>
      <c r="U3" s="5" t="s">
        <v>477</v>
      </c>
      <c r="V3" s="5" t="s">
        <v>96</v>
      </c>
      <c r="W3" s="7"/>
      <c r="X3" s="7"/>
      <c r="Y3" s="7"/>
      <c r="Z3" s="7"/>
    </row>
    <row r="4" spans="1:26" ht="128" customHeight="1">
      <c r="A4" s="5" t="s">
        <v>478</v>
      </c>
      <c r="B4" s="5" t="s">
        <v>43</v>
      </c>
      <c r="C4" s="5" t="s">
        <v>44</v>
      </c>
      <c r="D4" s="5" t="s">
        <v>470</v>
      </c>
      <c r="E4" s="5" t="s">
        <v>471</v>
      </c>
      <c r="F4" s="5" t="s">
        <v>138</v>
      </c>
      <c r="G4" s="5" t="s">
        <v>479</v>
      </c>
      <c r="H4" s="5" t="s">
        <v>480</v>
      </c>
      <c r="I4" s="5" t="s">
        <v>481</v>
      </c>
      <c r="J4" s="5" t="s">
        <v>482</v>
      </c>
      <c r="K4" s="5" t="s">
        <v>189</v>
      </c>
      <c r="L4" s="5" t="s">
        <v>483</v>
      </c>
      <c r="M4" s="5"/>
      <c r="N4" s="5" t="s">
        <v>24</v>
      </c>
      <c r="O4" s="5" t="s">
        <v>273</v>
      </c>
      <c r="P4" s="5" t="s">
        <v>197</v>
      </c>
      <c r="Q4" s="5" t="s">
        <v>116</v>
      </c>
      <c r="R4" s="5" t="s">
        <v>117</v>
      </c>
      <c r="S4" s="5"/>
      <c r="T4" s="5"/>
      <c r="U4" s="5" t="s">
        <v>477</v>
      </c>
      <c r="V4" s="5" t="s">
        <v>96</v>
      </c>
      <c r="W4" s="7"/>
      <c r="X4" s="7"/>
      <c r="Y4" s="7"/>
      <c r="Z4" s="7"/>
    </row>
    <row r="5" spans="1:26" ht="128" customHeight="1">
      <c r="A5" s="5" t="s">
        <v>484</v>
      </c>
      <c r="B5" s="5" t="s">
        <v>43</v>
      </c>
      <c r="C5" s="5" t="s">
        <v>44</v>
      </c>
      <c r="D5" s="5" t="s">
        <v>485</v>
      </c>
      <c r="E5" s="5" t="s">
        <v>486</v>
      </c>
      <c r="F5" s="5" t="s">
        <v>130</v>
      </c>
      <c r="G5" s="5" t="s">
        <v>487</v>
      </c>
      <c r="H5" s="5" t="s">
        <v>488</v>
      </c>
      <c r="I5" s="5" t="s">
        <v>489</v>
      </c>
      <c r="J5" s="5" t="s">
        <v>490</v>
      </c>
      <c r="K5" s="5" t="s">
        <v>189</v>
      </c>
      <c r="L5" s="5" t="s">
        <v>491</v>
      </c>
      <c r="M5" s="5"/>
      <c r="N5" s="5" t="s">
        <v>24</v>
      </c>
      <c r="O5" s="5" t="s">
        <v>273</v>
      </c>
      <c r="P5" s="5" t="s">
        <v>197</v>
      </c>
      <c r="Q5" s="5" t="s">
        <v>476</v>
      </c>
      <c r="R5" s="5"/>
      <c r="S5" s="5"/>
      <c r="T5" s="5"/>
      <c r="U5" s="5" t="s">
        <v>492</v>
      </c>
      <c r="V5" s="5" t="s">
        <v>96</v>
      </c>
      <c r="W5" s="7"/>
      <c r="X5" s="7"/>
      <c r="Y5" s="7"/>
      <c r="Z5" s="7"/>
    </row>
    <row r="6" spans="1:26" ht="128" customHeight="1">
      <c r="A6" s="5" t="s">
        <v>493</v>
      </c>
      <c r="B6" s="5" t="s">
        <v>43</v>
      </c>
      <c r="C6" s="5" t="s">
        <v>44</v>
      </c>
      <c r="D6" s="5" t="s">
        <v>485</v>
      </c>
      <c r="E6" s="5" t="s">
        <v>486</v>
      </c>
      <c r="F6" s="5" t="s">
        <v>138</v>
      </c>
      <c r="G6" s="5" t="s">
        <v>494</v>
      </c>
      <c r="H6" s="5" t="s">
        <v>495</v>
      </c>
      <c r="I6" s="5" t="s">
        <v>496</v>
      </c>
      <c r="J6" s="5" t="s">
        <v>497</v>
      </c>
      <c r="K6" s="5" t="s">
        <v>189</v>
      </c>
      <c r="L6" s="5" t="s">
        <v>498</v>
      </c>
      <c r="M6" s="5"/>
      <c r="N6" s="5" t="s">
        <v>24</v>
      </c>
      <c r="O6" s="5" t="s">
        <v>273</v>
      </c>
      <c r="P6" s="5" t="s">
        <v>197</v>
      </c>
      <c r="Q6" s="5" t="s">
        <v>476</v>
      </c>
      <c r="R6" s="5"/>
      <c r="S6" s="5"/>
      <c r="T6" s="5"/>
      <c r="U6" s="5" t="s">
        <v>492</v>
      </c>
      <c r="V6" s="5" t="s">
        <v>96</v>
      </c>
      <c r="W6" s="7"/>
      <c r="X6" s="7"/>
      <c r="Y6" s="7"/>
      <c r="Z6"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6">
    <cfRule type="expression" dxfId="14" priority="1">
      <formula>N2="Pass"</formula>
    </cfRule>
  </conditionalFormatting>
  <conditionalFormatting sqref="N2:N6">
    <cfRule type="expression" dxfId="13" priority="2">
      <formula>N2="Fail"</formula>
    </cfRule>
  </conditionalFormatting>
  <conditionalFormatting sqref="N2:N6">
    <cfRule type="expression" dxfId="12" priority="3">
      <formula>N2="Blocked"</formula>
    </cfRule>
  </conditionalFormatting>
  <conditionalFormatting sqref="Q2:Q6">
    <cfRule type="expression" dxfId="11" priority="4">
      <formula>Q2="Yes"</formula>
    </cfRule>
  </conditionalFormatting>
  <conditionalFormatting sqref="Q2:Q6">
    <cfRule type="expression" dxfId="10" priority="5">
      <formula>Q2="Later"</formula>
    </cfRule>
  </conditionalFormatting>
  <conditionalFormatting sqref="Q2:Q6">
    <cfRule type="expression" dxfId="9" priority="6">
      <formula>Q2="No"</formula>
    </cfRule>
  </conditionalFormatting>
  <conditionalFormatting sqref="O2:O6">
    <cfRule type="expression" dxfId="8" priority="7">
      <formula>O2="High"</formula>
    </cfRule>
  </conditionalFormatting>
  <dataValidations count="4">
    <dataValidation type="list" allowBlank="1" sqref="R2:R6" xr:uid="{00000000-0002-0000-0600-000000000000}">
      <formula1>"P1,P2,P3,P4"</formula1>
    </dataValidation>
    <dataValidation type="list" allowBlank="1" sqref="O2:O6" xr:uid="{00000000-0002-0000-0600-000001000000}">
      <formula1>"High,Medium,Low"</formula1>
    </dataValidation>
    <dataValidation type="list" allowBlank="1" sqref="N2:N6" xr:uid="{00000000-0002-0000-0600-000002000000}">
      <formula1>"Not Run,Pass,Fail,Blocked,Retest"</formula1>
    </dataValidation>
    <dataValidation type="list" allowBlank="1" sqref="Q2:Q6" xr:uid="{00000000-0002-0000-0600-000003000000}">
      <formula1>"Yes,Later,No"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499</v>
      </c>
      <c r="B2" s="5" t="s">
        <v>46</v>
      </c>
      <c r="C2" s="5" t="s">
        <v>47</v>
      </c>
      <c r="D2" s="5" t="s">
        <v>500</v>
      </c>
      <c r="E2" s="5" t="s">
        <v>501</v>
      </c>
      <c r="F2" s="5" t="s">
        <v>130</v>
      </c>
      <c r="G2" s="5" t="s">
        <v>502</v>
      </c>
      <c r="H2" s="5" t="s">
        <v>503</v>
      </c>
      <c r="I2" s="5" t="s">
        <v>504</v>
      </c>
      <c r="J2" s="5" t="s">
        <v>505</v>
      </c>
      <c r="K2" s="5" t="s">
        <v>506</v>
      </c>
      <c r="L2" s="5" t="s">
        <v>507</v>
      </c>
      <c r="M2" s="5"/>
      <c r="N2" s="5" t="s">
        <v>24</v>
      </c>
      <c r="O2" s="5" t="s">
        <v>91</v>
      </c>
      <c r="P2" s="5" t="s">
        <v>508</v>
      </c>
      <c r="Q2" s="5" t="s">
        <v>93</v>
      </c>
      <c r="R2" s="5" t="s">
        <v>94</v>
      </c>
      <c r="S2" s="5"/>
      <c r="T2" s="5"/>
      <c r="U2" s="5" t="s">
        <v>509</v>
      </c>
      <c r="V2" s="5" t="s">
        <v>510</v>
      </c>
      <c r="W2" s="7"/>
      <c r="X2" s="7"/>
      <c r="Y2" s="7"/>
      <c r="Z2" s="7"/>
    </row>
    <row r="3" spans="1:26" ht="128" customHeight="1">
      <c r="A3" s="5" t="s">
        <v>511</v>
      </c>
      <c r="B3" s="5" t="s">
        <v>46</v>
      </c>
      <c r="C3" s="5" t="s">
        <v>47</v>
      </c>
      <c r="D3" s="5" t="s">
        <v>500</v>
      </c>
      <c r="E3" s="5" t="s">
        <v>501</v>
      </c>
      <c r="F3" s="5" t="s">
        <v>138</v>
      </c>
      <c r="G3" s="5" t="s">
        <v>512</v>
      </c>
      <c r="H3" s="5" t="s">
        <v>513</v>
      </c>
      <c r="I3" s="5" t="s">
        <v>504</v>
      </c>
      <c r="J3" s="5" t="s">
        <v>514</v>
      </c>
      <c r="K3" s="5" t="s">
        <v>515</v>
      </c>
      <c r="L3" s="5" t="s">
        <v>516</v>
      </c>
      <c r="M3" s="5"/>
      <c r="N3" s="5" t="s">
        <v>24</v>
      </c>
      <c r="O3" s="5" t="s">
        <v>91</v>
      </c>
      <c r="P3" s="5" t="s">
        <v>508</v>
      </c>
      <c r="Q3" s="5" t="s">
        <v>93</v>
      </c>
      <c r="R3" s="5" t="s">
        <v>105</v>
      </c>
      <c r="S3" s="5"/>
      <c r="T3" s="5"/>
      <c r="U3" s="5" t="s">
        <v>517</v>
      </c>
      <c r="V3" s="5" t="s">
        <v>510</v>
      </c>
      <c r="W3" s="7"/>
      <c r="X3" s="7"/>
      <c r="Y3" s="7"/>
      <c r="Z3" s="7"/>
    </row>
    <row r="4" spans="1:26" ht="128" customHeight="1">
      <c r="A4" s="5" t="s">
        <v>518</v>
      </c>
      <c r="B4" s="5" t="s">
        <v>46</v>
      </c>
      <c r="C4" s="5" t="s">
        <v>47</v>
      </c>
      <c r="D4" s="5" t="s">
        <v>519</v>
      </c>
      <c r="E4" s="5" t="s">
        <v>520</v>
      </c>
      <c r="F4" s="5" t="s">
        <v>130</v>
      </c>
      <c r="G4" s="5" t="s">
        <v>521</v>
      </c>
      <c r="H4" s="5" t="s">
        <v>522</v>
      </c>
      <c r="I4" s="5" t="s">
        <v>504</v>
      </c>
      <c r="J4" s="5" t="s">
        <v>523</v>
      </c>
      <c r="K4" s="5" t="s">
        <v>524</v>
      </c>
      <c r="L4" s="5" t="s">
        <v>525</v>
      </c>
      <c r="M4" s="5"/>
      <c r="N4" s="5" t="s">
        <v>24</v>
      </c>
      <c r="O4" s="5" t="s">
        <v>91</v>
      </c>
      <c r="P4" s="5" t="s">
        <v>508</v>
      </c>
      <c r="Q4" s="5" t="s">
        <v>93</v>
      </c>
      <c r="R4" s="5" t="s">
        <v>94</v>
      </c>
      <c r="S4" s="5"/>
      <c r="T4" s="5"/>
      <c r="U4" s="5" t="s">
        <v>526</v>
      </c>
      <c r="V4" s="5" t="s">
        <v>510</v>
      </c>
      <c r="W4" s="7"/>
      <c r="X4" s="7"/>
      <c r="Y4" s="7"/>
      <c r="Z4" s="7"/>
    </row>
    <row r="5" spans="1:26" ht="128" customHeight="1">
      <c r="A5" s="5" t="s">
        <v>527</v>
      </c>
      <c r="B5" s="5" t="s">
        <v>46</v>
      </c>
      <c r="C5" s="5" t="s">
        <v>47</v>
      </c>
      <c r="D5" s="5" t="s">
        <v>519</v>
      </c>
      <c r="E5" s="5" t="s">
        <v>520</v>
      </c>
      <c r="F5" s="5" t="s">
        <v>138</v>
      </c>
      <c r="G5" s="5" t="s">
        <v>528</v>
      </c>
      <c r="H5" s="5" t="s">
        <v>529</v>
      </c>
      <c r="I5" s="5" t="s">
        <v>504</v>
      </c>
      <c r="J5" s="5" t="s">
        <v>530</v>
      </c>
      <c r="K5" s="5" t="s">
        <v>531</v>
      </c>
      <c r="L5" s="5" t="s">
        <v>516</v>
      </c>
      <c r="M5" s="5"/>
      <c r="N5" s="5" t="s">
        <v>24</v>
      </c>
      <c r="O5" s="5" t="s">
        <v>91</v>
      </c>
      <c r="P5" s="5" t="s">
        <v>508</v>
      </c>
      <c r="Q5" s="5" t="s">
        <v>93</v>
      </c>
      <c r="R5" s="5" t="s">
        <v>105</v>
      </c>
      <c r="S5" s="5"/>
      <c r="T5" s="5"/>
      <c r="U5" s="5" t="s">
        <v>532</v>
      </c>
      <c r="V5" s="5" t="s">
        <v>510</v>
      </c>
      <c r="W5" s="7"/>
      <c r="X5" s="7"/>
      <c r="Y5" s="7"/>
      <c r="Z5" s="7"/>
    </row>
    <row r="6" spans="1:26" ht="128" customHeight="1">
      <c r="A6" s="5" t="s">
        <v>533</v>
      </c>
      <c r="B6" s="5" t="s">
        <v>46</v>
      </c>
      <c r="C6" s="5" t="s">
        <v>47</v>
      </c>
      <c r="D6" s="5" t="s">
        <v>534</v>
      </c>
      <c r="E6" s="5" t="s">
        <v>535</v>
      </c>
      <c r="F6" s="5" t="s">
        <v>130</v>
      </c>
      <c r="G6" s="5" t="s">
        <v>536</v>
      </c>
      <c r="H6" s="5" t="s">
        <v>537</v>
      </c>
      <c r="I6" s="5" t="s">
        <v>504</v>
      </c>
      <c r="J6" s="5" t="s">
        <v>538</v>
      </c>
      <c r="K6" s="5" t="s">
        <v>639</v>
      </c>
      <c r="L6" s="5" t="s">
        <v>539</v>
      </c>
      <c r="M6" s="5"/>
      <c r="N6" s="5" t="s">
        <v>24</v>
      </c>
      <c r="O6" s="5" t="s">
        <v>91</v>
      </c>
      <c r="P6" s="5" t="s">
        <v>508</v>
      </c>
      <c r="Q6" s="5" t="s">
        <v>93</v>
      </c>
      <c r="R6" s="5" t="s">
        <v>94</v>
      </c>
      <c r="S6" s="5"/>
      <c r="T6" s="5"/>
      <c r="U6" s="5" t="s">
        <v>540</v>
      </c>
      <c r="V6" s="5" t="s">
        <v>510</v>
      </c>
      <c r="W6" s="7"/>
      <c r="X6" s="7"/>
      <c r="Y6" s="7"/>
      <c r="Z6" s="7"/>
    </row>
    <row r="7" spans="1:26" ht="128" customHeight="1">
      <c r="A7" s="5" t="s">
        <v>541</v>
      </c>
      <c r="B7" s="5" t="s">
        <v>46</v>
      </c>
      <c r="C7" s="5" t="s">
        <v>47</v>
      </c>
      <c r="D7" s="5" t="s">
        <v>534</v>
      </c>
      <c r="E7" s="5" t="s">
        <v>535</v>
      </c>
      <c r="F7" s="5" t="s">
        <v>138</v>
      </c>
      <c r="G7" s="5" t="s">
        <v>542</v>
      </c>
      <c r="H7" s="5" t="s">
        <v>543</v>
      </c>
      <c r="I7" s="5" t="s">
        <v>504</v>
      </c>
      <c r="J7" s="5" t="s">
        <v>544</v>
      </c>
      <c r="K7" s="5" t="s">
        <v>545</v>
      </c>
      <c r="L7" s="5" t="s">
        <v>546</v>
      </c>
      <c r="M7" s="5"/>
      <c r="N7" s="5" t="s">
        <v>24</v>
      </c>
      <c r="O7" s="5" t="s">
        <v>91</v>
      </c>
      <c r="P7" s="5" t="s">
        <v>508</v>
      </c>
      <c r="Q7" s="5" t="s">
        <v>93</v>
      </c>
      <c r="R7" s="5" t="s">
        <v>105</v>
      </c>
      <c r="S7" s="5"/>
      <c r="T7" s="5"/>
      <c r="U7" s="5" t="s">
        <v>547</v>
      </c>
      <c r="V7" s="5" t="s">
        <v>510</v>
      </c>
      <c r="W7" s="7"/>
      <c r="X7" s="7"/>
      <c r="Y7" s="7"/>
      <c r="Z7" s="7"/>
    </row>
    <row r="8" spans="1:26" ht="128" customHeight="1">
      <c r="A8" s="5" t="s">
        <v>548</v>
      </c>
      <c r="B8" s="5" t="s">
        <v>46</v>
      </c>
      <c r="C8" s="5" t="s">
        <v>47</v>
      </c>
      <c r="D8" s="5" t="s">
        <v>549</v>
      </c>
      <c r="E8" s="5" t="s">
        <v>550</v>
      </c>
      <c r="F8" s="5" t="s">
        <v>130</v>
      </c>
      <c r="G8" s="5" t="s">
        <v>551</v>
      </c>
      <c r="H8" s="5" t="s">
        <v>552</v>
      </c>
      <c r="I8" s="5" t="s">
        <v>553</v>
      </c>
      <c r="J8" s="5" t="s">
        <v>554</v>
      </c>
      <c r="K8" s="5" t="s">
        <v>640</v>
      </c>
      <c r="L8" s="5" t="s">
        <v>555</v>
      </c>
      <c r="M8" s="5"/>
      <c r="N8" s="5" t="s">
        <v>24</v>
      </c>
      <c r="O8" s="5" t="s">
        <v>91</v>
      </c>
      <c r="P8" s="5" t="s">
        <v>508</v>
      </c>
      <c r="Q8" s="5" t="s">
        <v>93</v>
      </c>
      <c r="R8" s="5" t="s">
        <v>94</v>
      </c>
      <c r="S8" s="5"/>
      <c r="T8" s="5"/>
      <c r="U8" s="5" t="s">
        <v>556</v>
      </c>
      <c r="V8" s="5" t="s">
        <v>510</v>
      </c>
      <c r="W8" s="7"/>
      <c r="X8" s="7"/>
      <c r="Y8" s="7"/>
      <c r="Z8" s="7"/>
    </row>
    <row r="9" spans="1:26" ht="128" customHeight="1">
      <c r="A9" s="5" t="s">
        <v>557</v>
      </c>
      <c r="B9" s="5" t="s">
        <v>46</v>
      </c>
      <c r="C9" s="5" t="s">
        <v>47</v>
      </c>
      <c r="D9" s="5" t="s">
        <v>549</v>
      </c>
      <c r="E9" s="5" t="s">
        <v>550</v>
      </c>
      <c r="F9" s="5" t="s">
        <v>98</v>
      </c>
      <c r="G9" s="5" t="s">
        <v>558</v>
      </c>
      <c r="H9" s="5" t="s">
        <v>559</v>
      </c>
      <c r="I9" s="5" t="s">
        <v>504</v>
      </c>
      <c r="J9" s="5" t="s">
        <v>560</v>
      </c>
      <c r="K9" s="5" t="s">
        <v>641</v>
      </c>
      <c r="L9" s="5" t="s">
        <v>561</v>
      </c>
      <c r="M9" s="5"/>
      <c r="N9" s="5" t="s">
        <v>24</v>
      </c>
      <c r="O9" s="5" t="s">
        <v>91</v>
      </c>
      <c r="P9" s="5" t="s">
        <v>508</v>
      </c>
      <c r="Q9" s="5" t="s">
        <v>93</v>
      </c>
      <c r="R9" s="5" t="s">
        <v>105</v>
      </c>
      <c r="S9" s="5"/>
      <c r="T9" s="5"/>
      <c r="U9" s="5" t="s">
        <v>562</v>
      </c>
      <c r="V9" s="5" t="s">
        <v>510</v>
      </c>
      <c r="W9" s="7"/>
      <c r="X9" s="7"/>
      <c r="Y9" s="7"/>
      <c r="Z9" s="7"/>
    </row>
    <row r="10" spans="1:26" ht="128" customHeight="1">
      <c r="A10" s="5" t="s">
        <v>563</v>
      </c>
      <c r="B10" s="5" t="s">
        <v>46</v>
      </c>
      <c r="C10" s="5" t="s">
        <v>47</v>
      </c>
      <c r="D10" s="5" t="s">
        <v>549</v>
      </c>
      <c r="E10" s="5" t="s">
        <v>550</v>
      </c>
      <c r="F10" s="5" t="s">
        <v>564</v>
      </c>
      <c r="G10" s="5" t="s">
        <v>565</v>
      </c>
      <c r="H10" s="5" t="s">
        <v>566</v>
      </c>
      <c r="I10" s="5" t="s">
        <v>504</v>
      </c>
      <c r="J10" s="5" t="s">
        <v>567</v>
      </c>
      <c r="K10" s="5" t="s">
        <v>568</v>
      </c>
      <c r="L10" s="5" t="s">
        <v>516</v>
      </c>
      <c r="M10" s="5"/>
      <c r="N10" s="5" t="s">
        <v>24</v>
      </c>
      <c r="O10" s="5" t="s">
        <v>91</v>
      </c>
      <c r="P10" s="5" t="s">
        <v>508</v>
      </c>
      <c r="Q10" s="5" t="s">
        <v>93</v>
      </c>
      <c r="R10" s="5" t="s">
        <v>105</v>
      </c>
      <c r="S10" s="5"/>
      <c r="T10" s="5"/>
      <c r="U10" s="5" t="s">
        <v>569</v>
      </c>
      <c r="V10" s="5" t="s">
        <v>510</v>
      </c>
      <c r="W10" s="7"/>
      <c r="X10" s="7"/>
      <c r="Y10" s="7"/>
      <c r="Z10" s="7"/>
    </row>
    <row r="11" spans="1:26" ht="128" customHeight="1">
      <c r="A11" s="5" t="s">
        <v>570</v>
      </c>
      <c r="B11" s="5" t="s">
        <v>46</v>
      </c>
      <c r="C11" s="5" t="s">
        <v>47</v>
      </c>
      <c r="D11" s="5" t="s">
        <v>549</v>
      </c>
      <c r="E11" s="5" t="s">
        <v>550</v>
      </c>
      <c r="F11" s="5" t="s">
        <v>138</v>
      </c>
      <c r="G11" s="5" t="s">
        <v>571</v>
      </c>
      <c r="H11" s="5" t="s">
        <v>572</v>
      </c>
      <c r="I11" s="5" t="s">
        <v>504</v>
      </c>
      <c r="J11" s="5" t="s">
        <v>573</v>
      </c>
      <c r="K11" s="5" t="s">
        <v>642</v>
      </c>
      <c r="L11" s="5" t="s">
        <v>574</v>
      </c>
      <c r="M11" s="5"/>
      <c r="N11" s="5" t="s">
        <v>24</v>
      </c>
      <c r="O11" s="5" t="s">
        <v>91</v>
      </c>
      <c r="P11" s="5" t="s">
        <v>508</v>
      </c>
      <c r="Q11" s="5" t="s">
        <v>93</v>
      </c>
      <c r="R11" s="5" t="s">
        <v>105</v>
      </c>
      <c r="S11" s="5"/>
      <c r="T11" s="5"/>
      <c r="U11" s="5" t="s">
        <v>575</v>
      </c>
      <c r="V11" s="5" t="s">
        <v>510</v>
      </c>
      <c r="W11" s="7"/>
      <c r="X11" s="7"/>
      <c r="Y11" s="7"/>
      <c r="Z11" s="7"/>
    </row>
    <row r="12" spans="1:26" ht="128" customHeight="1">
      <c r="A12" s="5" t="s">
        <v>576</v>
      </c>
      <c r="B12" s="5" t="s">
        <v>46</v>
      </c>
      <c r="C12" s="5" t="s">
        <v>47</v>
      </c>
      <c r="D12" s="5" t="s">
        <v>577</v>
      </c>
      <c r="E12" s="5" t="s">
        <v>578</v>
      </c>
      <c r="F12" s="5" t="s">
        <v>130</v>
      </c>
      <c r="G12" s="5" t="s">
        <v>579</v>
      </c>
      <c r="H12" s="5" t="s">
        <v>580</v>
      </c>
      <c r="I12" s="5" t="s">
        <v>581</v>
      </c>
      <c r="J12" s="5" t="s">
        <v>582</v>
      </c>
      <c r="K12" s="5" t="s">
        <v>643</v>
      </c>
      <c r="L12" s="5" t="s">
        <v>583</v>
      </c>
      <c r="M12" s="5"/>
      <c r="N12" s="5" t="s">
        <v>24</v>
      </c>
      <c r="O12" s="5" t="s">
        <v>91</v>
      </c>
      <c r="P12" s="5" t="s">
        <v>508</v>
      </c>
      <c r="Q12" s="5" t="s">
        <v>93</v>
      </c>
      <c r="R12" s="5" t="s">
        <v>94</v>
      </c>
      <c r="S12" s="5"/>
      <c r="T12" s="5"/>
      <c r="U12" s="5" t="s">
        <v>584</v>
      </c>
      <c r="V12" s="5" t="s">
        <v>510</v>
      </c>
      <c r="W12" s="7"/>
      <c r="X12" s="7"/>
      <c r="Y12" s="7"/>
      <c r="Z12" s="7"/>
    </row>
    <row r="13" spans="1:26" ht="128" customHeight="1">
      <c r="A13" s="5" t="s">
        <v>585</v>
      </c>
      <c r="B13" s="5" t="s">
        <v>46</v>
      </c>
      <c r="C13" s="5" t="s">
        <v>47</v>
      </c>
      <c r="D13" s="5" t="s">
        <v>577</v>
      </c>
      <c r="E13" s="5" t="s">
        <v>578</v>
      </c>
      <c r="F13" s="5" t="s">
        <v>138</v>
      </c>
      <c r="G13" s="5" t="s">
        <v>586</v>
      </c>
      <c r="H13" s="5" t="s">
        <v>587</v>
      </c>
      <c r="I13" s="5" t="s">
        <v>588</v>
      </c>
      <c r="J13" s="5" t="s">
        <v>589</v>
      </c>
      <c r="K13" s="5" t="s">
        <v>644</v>
      </c>
      <c r="L13" s="5" t="s">
        <v>590</v>
      </c>
      <c r="M13" s="5"/>
      <c r="N13" s="5" t="s">
        <v>24</v>
      </c>
      <c r="O13" s="5" t="s">
        <v>91</v>
      </c>
      <c r="P13" s="5" t="s">
        <v>508</v>
      </c>
      <c r="Q13" s="5" t="s">
        <v>93</v>
      </c>
      <c r="R13" s="5" t="s">
        <v>94</v>
      </c>
      <c r="S13" s="5"/>
      <c r="T13" s="5"/>
      <c r="U13" s="5" t="s">
        <v>591</v>
      </c>
      <c r="V13" s="5" t="s">
        <v>510</v>
      </c>
      <c r="W13" s="7"/>
      <c r="X13" s="7"/>
      <c r="Y13" s="7"/>
      <c r="Z13" s="7"/>
    </row>
    <row r="14" spans="1:26" ht="128" customHeight="1">
      <c r="A14" s="5" t="s">
        <v>592</v>
      </c>
      <c r="B14" s="5" t="s">
        <v>46</v>
      </c>
      <c r="C14" s="5" t="s">
        <v>47</v>
      </c>
      <c r="D14" s="5" t="s">
        <v>577</v>
      </c>
      <c r="E14" s="5" t="s">
        <v>578</v>
      </c>
      <c r="F14" s="5" t="s">
        <v>98</v>
      </c>
      <c r="G14" s="5" t="s">
        <v>593</v>
      </c>
      <c r="H14" s="5" t="s">
        <v>594</v>
      </c>
      <c r="I14" s="5" t="s">
        <v>588</v>
      </c>
      <c r="J14" s="5" t="s">
        <v>595</v>
      </c>
      <c r="K14" s="5" t="s">
        <v>645</v>
      </c>
      <c r="L14" s="5" t="s">
        <v>596</v>
      </c>
      <c r="M14" s="5"/>
      <c r="N14" s="5" t="s">
        <v>24</v>
      </c>
      <c r="O14" s="5" t="s">
        <v>91</v>
      </c>
      <c r="P14" s="5" t="s">
        <v>508</v>
      </c>
      <c r="Q14" s="5" t="s">
        <v>93</v>
      </c>
      <c r="R14" s="5" t="s">
        <v>94</v>
      </c>
      <c r="S14" s="5"/>
      <c r="T14" s="5"/>
      <c r="U14" s="5" t="s">
        <v>597</v>
      </c>
      <c r="V14" s="5" t="s">
        <v>510</v>
      </c>
      <c r="W14" s="7"/>
      <c r="X14" s="7"/>
      <c r="Y14" s="7"/>
      <c r="Z14" s="7"/>
    </row>
    <row r="15" spans="1:26" ht="128" customHeight="1">
      <c r="A15" s="5" t="s">
        <v>598</v>
      </c>
      <c r="B15" s="5" t="s">
        <v>46</v>
      </c>
      <c r="C15" s="5" t="s">
        <v>47</v>
      </c>
      <c r="D15" s="5" t="s">
        <v>577</v>
      </c>
      <c r="E15" s="5" t="s">
        <v>578</v>
      </c>
      <c r="F15" s="5" t="s">
        <v>564</v>
      </c>
      <c r="G15" s="5" t="s">
        <v>599</v>
      </c>
      <c r="H15" s="5" t="s">
        <v>600</v>
      </c>
      <c r="I15" s="5" t="s">
        <v>588</v>
      </c>
      <c r="J15" s="5" t="s">
        <v>601</v>
      </c>
      <c r="K15" s="5" t="s">
        <v>646</v>
      </c>
      <c r="L15" s="5" t="s">
        <v>602</v>
      </c>
      <c r="M15" s="5"/>
      <c r="N15" s="5" t="s">
        <v>24</v>
      </c>
      <c r="O15" s="5" t="s">
        <v>91</v>
      </c>
      <c r="P15" s="5" t="s">
        <v>508</v>
      </c>
      <c r="Q15" s="5" t="s">
        <v>93</v>
      </c>
      <c r="R15" s="5" t="s">
        <v>94</v>
      </c>
      <c r="S15" s="5"/>
      <c r="T15" s="5"/>
      <c r="U15" s="5" t="s">
        <v>603</v>
      </c>
      <c r="V15" s="5" t="s">
        <v>510</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7" priority="1">
      <formula>N2="Pass"</formula>
    </cfRule>
  </conditionalFormatting>
  <conditionalFormatting sqref="N2:N15">
    <cfRule type="expression" dxfId="6" priority="2">
      <formula>N2="Fail"</formula>
    </cfRule>
  </conditionalFormatting>
  <conditionalFormatting sqref="N2:N15">
    <cfRule type="expression" dxfId="5" priority="3">
      <formula>N2="Blocked"</formula>
    </cfRule>
  </conditionalFormatting>
  <conditionalFormatting sqref="Q2:Q15">
    <cfRule type="expression" dxfId="4" priority="4">
      <formula>Q2="Yes"</formula>
    </cfRule>
  </conditionalFormatting>
  <conditionalFormatting sqref="Q2:Q15">
    <cfRule type="expression" dxfId="3" priority="5">
      <formula>Q2="Later"</formula>
    </cfRule>
  </conditionalFormatting>
  <conditionalFormatting sqref="Q2:Q15">
    <cfRule type="expression" dxfId="2" priority="6">
      <formula>Q2="No"</formula>
    </cfRule>
  </conditionalFormatting>
  <conditionalFormatting sqref="O2:O15">
    <cfRule type="expression" dxfId="1" priority="7">
      <formula>O2="High"</formula>
    </cfRule>
  </conditionalFormatting>
  <dataValidations count="4">
    <dataValidation type="list" allowBlank="1" sqref="R2:R15" xr:uid="{00000000-0002-0000-0700-000000000000}">
      <formula1>"P1,P2,P3,P4"</formula1>
    </dataValidation>
    <dataValidation type="list" allowBlank="1" sqref="O2:O15" xr:uid="{00000000-0002-0000-0700-000001000000}">
      <formula1>"High,Medium,Low"</formula1>
    </dataValidation>
    <dataValidation type="list" allowBlank="1" sqref="N2:N15" xr:uid="{00000000-0002-0000-0700-000002000000}">
      <formula1>"Not Run,Pass,Fail,Blocked,Retest"</formula1>
    </dataValidation>
    <dataValidation type="list" allowBlank="1" sqref="Q2:Q15" xr:uid="{00000000-0002-0000-0700-000003000000}">
      <formula1>"Yes,Later,No"</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9"/>
  <sheetViews>
    <sheetView workbookViewId="0"/>
  </sheetViews>
  <sheetFormatPr baseColWidth="10" defaultColWidth="12.6640625" defaultRowHeight="15"/>
  <cols>
    <col min="1" max="1" width="12" customWidth="1"/>
    <col min="2" max="2" width="14" customWidth="1"/>
    <col min="3" max="3" width="34" customWidth="1"/>
    <col min="4" max="4" width="14" customWidth="1"/>
    <col min="5" max="5" width="60" customWidth="1"/>
    <col min="6" max="26" width="8.6640625" customWidth="1"/>
  </cols>
  <sheetData>
    <row r="1" spans="1:5" ht="16">
      <c r="A1" s="10" t="s">
        <v>604</v>
      </c>
      <c r="B1" s="10" t="s">
        <v>605</v>
      </c>
      <c r="C1" s="10" t="s">
        <v>606</v>
      </c>
      <c r="D1" s="10" t="s">
        <v>607</v>
      </c>
      <c r="E1" s="10" t="s">
        <v>608</v>
      </c>
    </row>
    <row r="2" spans="1:5" ht="16">
      <c r="A2" s="1" t="s">
        <v>28</v>
      </c>
      <c r="B2" s="1" t="s">
        <v>18</v>
      </c>
      <c r="C2" s="1" t="s">
        <v>29</v>
      </c>
      <c r="D2" s="1" t="s">
        <v>609</v>
      </c>
      <c r="E2" s="1"/>
    </row>
    <row r="3" spans="1:5" ht="16">
      <c r="A3" s="1" t="s">
        <v>31</v>
      </c>
      <c r="B3" s="1" t="s">
        <v>18</v>
      </c>
      <c r="C3" s="1" t="s">
        <v>32</v>
      </c>
      <c r="D3" s="1" t="s">
        <v>609</v>
      </c>
      <c r="E3" s="1"/>
    </row>
    <row r="4" spans="1:5" ht="16">
      <c r="A4" s="1" t="s">
        <v>34</v>
      </c>
      <c r="B4" s="1" t="s">
        <v>18</v>
      </c>
      <c r="C4" s="1" t="s">
        <v>35</v>
      </c>
      <c r="D4" s="1" t="s">
        <v>609</v>
      </c>
      <c r="E4" s="1"/>
    </row>
    <row r="5" spans="1:5" ht="16">
      <c r="A5" s="1" t="s">
        <v>37</v>
      </c>
      <c r="B5" s="1" t="s">
        <v>18</v>
      </c>
      <c r="C5" s="1" t="s">
        <v>38</v>
      </c>
      <c r="D5" s="1" t="s">
        <v>609</v>
      </c>
      <c r="E5" s="1"/>
    </row>
    <row r="6" spans="1:5" ht="16">
      <c r="A6" s="1" t="s">
        <v>40</v>
      </c>
      <c r="B6" s="1" t="s">
        <v>18</v>
      </c>
      <c r="C6" s="1" t="s">
        <v>41</v>
      </c>
      <c r="D6" s="1" t="s">
        <v>609</v>
      </c>
      <c r="E6" s="1"/>
    </row>
    <row r="7" spans="1:5" ht="16">
      <c r="A7" s="1" t="s">
        <v>43</v>
      </c>
      <c r="B7" s="1" t="s">
        <v>18</v>
      </c>
      <c r="C7" s="1" t="s">
        <v>44</v>
      </c>
      <c r="D7" s="1" t="s">
        <v>609</v>
      </c>
      <c r="E7" s="1"/>
    </row>
    <row r="8" spans="1:5" ht="16">
      <c r="A8" s="1" t="s">
        <v>46</v>
      </c>
      <c r="B8" s="1" t="s">
        <v>18</v>
      </c>
      <c r="C8" s="1" t="s">
        <v>47</v>
      </c>
      <c r="D8" s="1" t="s">
        <v>609</v>
      </c>
      <c r="E8" s="1"/>
    </row>
    <row r="9" spans="1:5" ht="16">
      <c r="A9" s="1" t="s">
        <v>83</v>
      </c>
      <c r="B9" s="1" t="s">
        <v>64</v>
      </c>
      <c r="C9" s="1" t="s">
        <v>84</v>
      </c>
      <c r="D9" s="1" t="s">
        <v>609</v>
      </c>
      <c r="E9" s="1"/>
    </row>
    <row r="10" spans="1:5" ht="16">
      <c r="A10" s="1" t="s">
        <v>128</v>
      </c>
      <c r="B10" s="1" t="s">
        <v>64</v>
      </c>
      <c r="C10" s="1" t="s">
        <v>129</v>
      </c>
      <c r="D10" s="1" t="s">
        <v>609</v>
      </c>
      <c r="E10" s="1"/>
    </row>
    <row r="11" spans="1:5" ht="16">
      <c r="A11" s="1" t="s">
        <v>157</v>
      </c>
      <c r="B11" s="1" t="s">
        <v>64</v>
      </c>
      <c r="C11" s="1" t="s">
        <v>158</v>
      </c>
      <c r="D11" s="1" t="s">
        <v>609</v>
      </c>
      <c r="E11" s="1"/>
    </row>
    <row r="12" spans="1:5" ht="16">
      <c r="A12" s="1" t="s">
        <v>166</v>
      </c>
      <c r="B12" s="1" t="s">
        <v>64</v>
      </c>
      <c r="C12" s="1" t="s">
        <v>167</v>
      </c>
      <c r="D12" s="1" t="s">
        <v>609</v>
      </c>
      <c r="E12" s="1"/>
    </row>
    <row r="13" spans="1:5" ht="16">
      <c r="A13" s="1" t="s">
        <v>183</v>
      </c>
      <c r="B13" s="1" t="s">
        <v>64</v>
      </c>
      <c r="C13" s="1" t="s">
        <v>184</v>
      </c>
      <c r="D13" s="1" t="s">
        <v>609</v>
      </c>
      <c r="E13" s="1"/>
    </row>
    <row r="14" spans="1:5" ht="16">
      <c r="A14" s="1" t="s">
        <v>199</v>
      </c>
      <c r="B14" s="1" t="s">
        <v>64</v>
      </c>
      <c r="C14" s="1" t="s">
        <v>200</v>
      </c>
      <c r="D14" s="1" t="s">
        <v>609</v>
      </c>
      <c r="E14" s="1"/>
    </row>
    <row r="15" spans="1:5" ht="16">
      <c r="A15" s="1" t="s">
        <v>213</v>
      </c>
      <c r="B15" s="1" t="s">
        <v>64</v>
      </c>
      <c r="C15" s="1" t="s">
        <v>214</v>
      </c>
      <c r="D15" s="1" t="s">
        <v>609</v>
      </c>
      <c r="E15" s="1"/>
    </row>
    <row r="16" spans="1:5" ht="16">
      <c r="A16" s="1" t="s">
        <v>226</v>
      </c>
      <c r="B16" s="1" t="s">
        <v>64</v>
      </c>
      <c r="C16" s="1" t="s">
        <v>227</v>
      </c>
      <c r="D16" s="1" t="s">
        <v>609</v>
      </c>
      <c r="E16" s="1"/>
    </row>
    <row r="17" spans="1:5" ht="16">
      <c r="A17" s="1" t="s">
        <v>243</v>
      </c>
      <c r="B17" s="1" t="s">
        <v>64</v>
      </c>
      <c r="C17" s="11" t="s">
        <v>244</v>
      </c>
      <c r="D17" s="1" t="s">
        <v>609</v>
      </c>
      <c r="E17" s="1"/>
    </row>
    <row r="18" spans="1:5" ht="16">
      <c r="A18" s="1" t="s">
        <v>260</v>
      </c>
      <c r="B18" s="1" t="s">
        <v>64</v>
      </c>
      <c r="C18" s="1" t="s">
        <v>261</v>
      </c>
      <c r="D18" s="1" t="s">
        <v>609</v>
      </c>
      <c r="E18" s="1"/>
    </row>
    <row r="19" spans="1:5" ht="16">
      <c r="A19" s="1" t="s">
        <v>275</v>
      </c>
      <c r="B19" s="1" t="s">
        <v>64</v>
      </c>
      <c r="C19" s="1" t="s">
        <v>276</v>
      </c>
      <c r="D19" s="1" t="s">
        <v>609</v>
      </c>
      <c r="E19" s="1"/>
    </row>
    <row r="20" spans="1:5" ht="16">
      <c r="A20" s="1" t="s">
        <v>290</v>
      </c>
      <c r="B20" s="1" t="s">
        <v>64</v>
      </c>
      <c r="C20" s="1" t="s">
        <v>291</v>
      </c>
      <c r="D20" s="1" t="s">
        <v>609</v>
      </c>
      <c r="E20" s="1"/>
    </row>
    <row r="21" spans="1:5" ht="21" customHeight="1">
      <c r="A21" s="1" t="s">
        <v>315</v>
      </c>
      <c r="B21" s="1" t="s">
        <v>64</v>
      </c>
      <c r="C21" s="1" t="s">
        <v>316</v>
      </c>
      <c r="D21" s="1" t="s">
        <v>609</v>
      </c>
      <c r="E21" s="1"/>
    </row>
    <row r="22" spans="1:5" ht="21" customHeight="1">
      <c r="A22" s="1" t="s">
        <v>331</v>
      </c>
      <c r="B22" s="1" t="s">
        <v>64</v>
      </c>
      <c r="C22" s="1" t="s">
        <v>332</v>
      </c>
      <c r="D22" s="1" t="s">
        <v>609</v>
      </c>
      <c r="E22" s="1"/>
    </row>
    <row r="23" spans="1:5" ht="21" customHeight="1">
      <c r="A23" s="1" t="s">
        <v>349</v>
      </c>
      <c r="B23" s="1" t="s">
        <v>64</v>
      </c>
      <c r="C23" s="1" t="s">
        <v>350</v>
      </c>
      <c r="D23" s="1" t="s">
        <v>609</v>
      </c>
      <c r="E23" s="1"/>
    </row>
    <row r="24" spans="1:5" ht="21" customHeight="1">
      <c r="A24" s="1" t="s">
        <v>358</v>
      </c>
      <c r="B24" s="1" t="s">
        <v>64</v>
      </c>
      <c r="C24" s="1" t="s">
        <v>359</v>
      </c>
      <c r="D24" s="1" t="s">
        <v>609</v>
      </c>
      <c r="E24" s="1"/>
    </row>
    <row r="25" spans="1:5" ht="21" customHeight="1">
      <c r="A25" s="1" t="s">
        <v>368</v>
      </c>
      <c r="B25" s="1" t="s">
        <v>64</v>
      </c>
      <c r="C25" s="1" t="s">
        <v>369</v>
      </c>
      <c r="D25" s="1" t="s">
        <v>609</v>
      </c>
      <c r="E25" s="1"/>
    </row>
    <row r="26" spans="1:5" ht="21" customHeight="1">
      <c r="A26" s="1" t="s">
        <v>377</v>
      </c>
      <c r="B26" s="1" t="s">
        <v>64</v>
      </c>
      <c r="C26" s="1" t="s">
        <v>378</v>
      </c>
      <c r="D26" s="1" t="s">
        <v>609</v>
      </c>
      <c r="E26" s="1"/>
    </row>
    <row r="27" spans="1:5" ht="21" customHeight="1">
      <c r="A27" s="1" t="s">
        <v>392</v>
      </c>
      <c r="B27" s="1" t="s">
        <v>64</v>
      </c>
      <c r="C27" s="1" t="s">
        <v>393</v>
      </c>
      <c r="D27" s="1" t="s">
        <v>609</v>
      </c>
      <c r="E27" s="1"/>
    </row>
    <row r="28" spans="1:5" ht="21" customHeight="1">
      <c r="A28" s="1" t="s">
        <v>406</v>
      </c>
      <c r="B28" s="1" t="s">
        <v>64</v>
      </c>
      <c r="C28" s="1" t="s">
        <v>407</v>
      </c>
      <c r="D28" s="1" t="s">
        <v>609</v>
      </c>
      <c r="E28" s="1"/>
    </row>
    <row r="29" spans="1:5" ht="21" customHeight="1">
      <c r="A29" s="1" t="s">
        <v>424</v>
      </c>
      <c r="B29" s="1" t="s">
        <v>64</v>
      </c>
      <c r="C29" s="1" t="s">
        <v>425</v>
      </c>
      <c r="D29" s="1" t="s">
        <v>609</v>
      </c>
      <c r="E29" s="1"/>
    </row>
    <row r="30" spans="1:5" ht="21" customHeight="1">
      <c r="A30" s="1" t="s">
        <v>443</v>
      </c>
      <c r="B30" s="1" t="s">
        <v>64</v>
      </c>
      <c r="C30" s="1" t="s">
        <v>444</v>
      </c>
      <c r="D30" s="1" t="s">
        <v>609</v>
      </c>
      <c r="E30" s="1"/>
    </row>
    <row r="31" spans="1:5" ht="21" customHeight="1">
      <c r="A31" s="1" t="s">
        <v>462</v>
      </c>
      <c r="B31" s="1" t="s">
        <v>64</v>
      </c>
      <c r="C31" s="1" t="s">
        <v>463</v>
      </c>
      <c r="D31" s="1" t="s">
        <v>609</v>
      </c>
      <c r="E31" s="1"/>
    </row>
    <row r="32" spans="1:5" ht="21" customHeight="1">
      <c r="A32" s="1" t="s">
        <v>470</v>
      </c>
      <c r="B32" s="1" t="s">
        <v>64</v>
      </c>
      <c r="C32" s="1" t="s">
        <v>471</v>
      </c>
      <c r="D32" s="1" t="s">
        <v>609</v>
      </c>
      <c r="E32" s="1"/>
    </row>
    <row r="33" spans="1:5" ht="21" customHeight="1">
      <c r="A33" s="1" t="s">
        <v>485</v>
      </c>
      <c r="B33" s="1" t="s">
        <v>64</v>
      </c>
      <c r="C33" s="1" t="s">
        <v>486</v>
      </c>
      <c r="D33" s="1" t="s">
        <v>609</v>
      </c>
      <c r="E33" s="1"/>
    </row>
    <row r="34" spans="1:5" ht="21" customHeight="1">
      <c r="A34" s="1" t="s">
        <v>500</v>
      </c>
      <c r="B34" s="1" t="s">
        <v>64</v>
      </c>
      <c r="C34" s="1" t="s">
        <v>501</v>
      </c>
      <c r="D34" s="1" t="s">
        <v>609</v>
      </c>
      <c r="E34" s="1"/>
    </row>
    <row r="35" spans="1:5" ht="21" customHeight="1">
      <c r="A35" s="1" t="s">
        <v>519</v>
      </c>
      <c r="B35" s="1" t="s">
        <v>64</v>
      </c>
      <c r="C35" s="1" t="s">
        <v>520</v>
      </c>
      <c r="D35" s="1" t="s">
        <v>609</v>
      </c>
      <c r="E35" s="1"/>
    </row>
    <row r="36" spans="1:5" ht="21" customHeight="1">
      <c r="A36" s="1" t="s">
        <v>534</v>
      </c>
      <c r="B36" s="1" t="s">
        <v>64</v>
      </c>
      <c r="C36" s="1" t="s">
        <v>535</v>
      </c>
      <c r="D36" s="1" t="s">
        <v>609</v>
      </c>
      <c r="E36" s="1"/>
    </row>
    <row r="37" spans="1:5" ht="21" customHeight="1">
      <c r="A37" s="1" t="s">
        <v>549</v>
      </c>
      <c r="B37" s="1" t="s">
        <v>64</v>
      </c>
      <c r="C37" s="1" t="s">
        <v>550</v>
      </c>
      <c r="D37" s="1" t="s">
        <v>609</v>
      </c>
      <c r="E37" s="1"/>
    </row>
    <row r="38" spans="1:5" ht="21" customHeight="1">
      <c r="A38" s="1" t="s">
        <v>577</v>
      </c>
      <c r="B38" s="1" t="s">
        <v>64</v>
      </c>
      <c r="C38" s="1" t="s">
        <v>578</v>
      </c>
      <c r="D38" s="1" t="s">
        <v>609</v>
      </c>
      <c r="E38" s="1"/>
    </row>
    <row r="39" spans="1:5" ht="21" customHeight="1"/>
    <row r="40" spans="1:5" ht="21" customHeight="1">
      <c r="A40" s="36"/>
      <c r="B40" s="31"/>
      <c r="C40" s="31"/>
      <c r="D40" s="31"/>
      <c r="E40" s="31"/>
    </row>
    <row r="41" spans="1:5" ht="21" customHeight="1"/>
    <row r="42" spans="1:5" ht="21" customHeight="1"/>
    <row r="43" spans="1:5" ht="21" customHeight="1"/>
    <row r="44" spans="1:5" ht="21" customHeight="1"/>
    <row r="45" spans="1:5" ht="21" customHeight="1"/>
    <row r="46" spans="1:5" ht="21" customHeight="1"/>
    <row r="47" spans="1:5" ht="21" customHeight="1"/>
    <row r="48" spans="1:5"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1">
    <mergeCell ref="A40:E40"/>
  </mergeCells>
  <conditionalFormatting sqref="D2:D38">
    <cfRule type="expression" dxfId="0" priority="1">
      <formula>D2="Review"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999"/>
  <sheetViews>
    <sheetView topLeftCell="A25" workbookViewId="0">
      <selection activeCell="D33" sqref="D33"/>
    </sheetView>
  </sheetViews>
  <sheetFormatPr baseColWidth="10" defaultColWidth="12.6640625" defaultRowHeight="15"/>
  <cols>
    <col min="1" max="1" width="20" customWidth="1"/>
    <col min="2" max="2" width="22" customWidth="1"/>
    <col min="3" max="3" width="46" customWidth="1"/>
    <col min="4" max="4" width="52" customWidth="1"/>
    <col min="5" max="26" width="8.6640625" customWidth="1"/>
  </cols>
  <sheetData>
    <row r="1" spans="1:4" ht="22.25" customHeight="1">
      <c r="A1" s="37" t="s">
        <v>647</v>
      </c>
      <c r="B1" s="38"/>
      <c r="C1" s="38"/>
      <c r="D1" s="38"/>
    </row>
    <row r="2" spans="1:4" ht="20" customHeight="1">
      <c r="A2" s="39" t="s">
        <v>648</v>
      </c>
      <c r="B2" s="39"/>
      <c r="C2" s="39"/>
      <c r="D2" s="39"/>
    </row>
    <row r="3" spans="1:4" ht="20" customHeight="1">
      <c r="A3" s="14" t="s">
        <v>649</v>
      </c>
      <c r="B3" s="15" t="s">
        <v>650</v>
      </c>
      <c r="C3" s="15" t="s">
        <v>4</v>
      </c>
      <c r="D3" s="16" t="s">
        <v>651</v>
      </c>
    </row>
    <row r="4" spans="1:4" ht="20" customHeight="1">
      <c r="A4" s="17" t="s">
        <v>652</v>
      </c>
      <c r="B4" s="18" t="s">
        <v>653</v>
      </c>
      <c r="C4" s="26" t="s">
        <v>654</v>
      </c>
      <c r="D4" s="19" t="s">
        <v>655</v>
      </c>
    </row>
    <row r="5" spans="1:4" ht="20" customHeight="1">
      <c r="A5" s="17" t="s">
        <v>652</v>
      </c>
      <c r="B5" s="18" t="s">
        <v>656</v>
      </c>
      <c r="C5" s="26" t="s">
        <v>657</v>
      </c>
      <c r="D5" s="19" t="s">
        <v>658</v>
      </c>
    </row>
    <row r="6" spans="1:4" ht="20" customHeight="1">
      <c r="A6" s="17" t="s">
        <v>652</v>
      </c>
      <c r="B6" s="18" t="s">
        <v>659</v>
      </c>
      <c r="C6" s="26" t="s">
        <v>660</v>
      </c>
      <c r="D6" s="19" t="s">
        <v>661</v>
      </c>
    </row>
    <row r="7" spans="1:4" ht="20" customHeight="1">
      <c r="A7" s="17" t="s">
        <v>652</v>
      </c>
      <c r="B7" s="18" t="s">
        <v>662</v>
      </c>
      <c r="C7" s="26" t="s">
        <v>663</v>
      </c>
      <c r="D7" s="19" t="s">
        <v>664</v>
      </c>
    </row>
    <row r="8" spans="1:4" ht="20" customHeight="1">
      <c r="A8" s="17" t="s">
        <v>652</v>
      </c>
      <c r="B8" s="18" t="s">
        <v>665</v>
      </c>
      <c r="C8" s="26" t="s">
        <v>50</v>
      </c>
      <c r="D8" s="19"/>
    </row>
    <row r="9" spans="1:4" ht="20" customHeight="1">
      <c r="A9" s="17" t="s">
        <v>652</v>
      </c>
      <c r="B9" s="18" t="s">
        <v>666</v>
      </c>
      <c r="C9" s="26" t="s">
        <v>667</v>
      </c>
      <c r="D9" s="19"/>
    </row>
    <row r="10" spans="1:4" ht="20" customHeight="1">
      <c r="A10" s="17" t="s">
        <v>652</v>
      </c>
      <c r="B10" s="18" t="s">
        <v>668</v>
      </c>
      <c r="C10" s="26" t="s">
        <v>669</v>
      </c>
      <c r="D10" s="19"/>
    </row>
    <row r="11" spans="1:4" ht="20" customHeight="1">
      <c r="A11" s="17" t="s">
        <v>652</v>
      </c>
      <c r="B11" s="18" t="s">
        <v>670</v>
      </c>
      <c r="C11" s="26" t="s">
        <v>671</v>
      </c>
      <c r="D11" s="19"/>
    </row>
    <row r="12" spans="1:4" ht="20" customHeight="1">
      <c r="A12" s="17" t="s">
        <v>652</v>
      </c>
      <c r="B12" s="18" t="s">
        <v>672</v>
      </c>
      <c r="C12" s="26" t="s">
        <v>673</v>
      </c>
      <c r="D12" s="19"/>
    </row>
    <row r="13" spans="1:4" ht="20" customHeight="1">
      <c r="A13" s="17" t="s">
        <v>652</v>
      </c>
      <c r="B13" s="18" t="s">
        <v>674</v>
      </c>
      <c r="C13" s="26" t="s">
        <v>675</v>
      </c>
      <c r="D13" s="19"/>
    </row>
    <row r="14" spans="1:4" ht="20" customHeight="1">
      <c r="A14" s="17" t="s">
        <v>652</v>
      </c>
      <c r="B14" s="18" t="s">
        <v>676</v>
      </c>
      <c r="C14" s="26" t="s">
        <v>677</v>
      </c>
      <c r="D14" s="19" t="s">
        <v>678</v>
      </c>
    </row>
    <row r="15" spans="1:4" ht="20" customHeight="1">
      <c r="A15" s="17" t="s">
        <v>652</v>
      </c>
      <c r="B15" s="18" t="s">
        <v>679</v>
      </c>
      <c r="C15" s="26" t="s">
        <v>680</v>
      </c>
      <c r="D15" s="19" t="s">
        <v>681</v>
      </c>
    </row>
    <row r="16" spans="1:4" ht="20" customHeight="1">
      <c r="A16" s="17" t="s">
        <v>652</v>
      </c>
      <c r="B16" s="18" t="s">
        <v>682</v>
      </c>
      <c r="C16" s="26" t="s">
        <v>683</v>
      </c>
      <c r="D16" s="19" t="s">
        <v>684</v>
      </c>
    </row>
    <row r="17" spans="1:4" ht="20" customHeight="1">
      <c r="A17" s="17" t="s">
        <v>652</v>
      </c>
      <c r="B17" s="18" t="s">
        <v>685</v>
      </c>
      <c r="C17" s="26" t="s">
        <v>686</v>
      </c>
      <c r="D17" s="19"/>
    </row>
    <row r="18" spans="1:4" ht="20" customHeight="1">
      <c r="A18" s="17" t="s">
        <v>652</v>
      </c>
      <c r="B18" s="18" t="s">
        <v>687</v>
      </c>
      <c r="C18" s="26" t="s">
        <v>688</v>
      </c>
      <c r="D18" s="19"/>
    </row>
    <row r="19" spans="1:4" ht="20" customHeight="1">
      <c r="A19" s="17" t="s">
        <v>652</v>
      </c>
      <c r="B19" s="18" t="s">
        <v>689</v>
      </c>
      <c r="C19" s="26" t="s">
        <v>690</v>
      </c>
      <c r="D19" s="19"/>
    </row>
    <row r="20" spans="1:4" ht="20" customHeight="1">
      <c r="A20" s="17" t="s">
        <v>652</v>
      </c>
      <c r="B20" s="18" t="s">
        <v>691</v>
      </c>
      <c r="C20" s="26" t="s">
        <v>692</v>
      </c>
      <c r="D20" s="19" t="s">
        <v>693</v>
      </c>
    </row>
    <row r="21" spans="1:4" ht="35.25" customHeight="1">
      <c r="A21" s="17" t="s">
        <v>694</v>
      </c>
      <c r="B21" s="18" t="s">
        <v>656</v>
      </c>
      <c r="C21" s="26" t="s">
        <v>657</v>
      </c>
      <c r="D21" s="19" t="s">
        <v>695</v>
      </c>
    </row>
    <row r="22" spans="1:4" ht="20" customHeight="1">
      <c r="A22" s="17" t="s">
        <v>694</v>
      </c>
      <c r="B22" s="18" t="s">
        <v>659</v>
      </c>
      <c r="C22" s="26" t="s">
        <v>660</v>
      </c>
      <c r="D22" s="19" t="s">
        <v>696</v>
      </c>
    </row>
    <row r="23" spans="1:4" ht="20" customHeight="1">
      <c r="A23" s="17" t="s">
        <v>697</v>
      </c>
      <c r="B23" s="18" t="s">
        <v>698</v>
      </c>
      <c r="C23" s="26" t="s">
        <v>654</v>
      </c>
      <c r="D23" s="19" t="s">
        <v>699</v>
      </c>
    </row>
    <row r="24" spans="1:4" ht="20" customHeight="1">
      <c r="A24" s="17" t="s">
        <v>697</v>
      </c>
      <c r="B24" s="18" t="s">
        <v>700</v>
      </c>
      <c r="C24" s="26" t="s">
        <v>701</v>
      </c>
      <c r="D24" s="19" t="s">
        <v>702</v>
      </c>
    </row>
    <row r="25" spans="1:4" ht="20" customHeight="1">
      <c r="A25" s="17" t="s">
        <v>697</v>
      </c>
      <c r="B25" s="18" t="s">
        <v>703</v>
      </c>
      <c r="C25" s="26" t="s">
        <v>704</v>
      </c>
      <c r="D25" s="19" t="s">
        <v>699</v>
      </c>
    </row>
    <row r="26" spans="1:4" ht="20" customHeight="1">
      <c r="A26" s="17" t="s">
        <v>697</v>
      </c>
      <c r="B26" s="18" t="s">
        <v>705</v>
      </c>
      <c r="C26" s="26" t="s">
        <v>706</v>
      </c>
      <c r="D26" s="19"/>
    </row>
    <row r="27" spans="1:4" ht="20" customHeight="1">
      <c r="A27" s="17" t="s">
        <v>697</v>
      </c>
      <c r="B27" s="18" t="s">
        <v>707</v>
      </c>
      <c r="C27" s="26" t="s">
        <v>708</v>
      </c>
      <c r="D27" s="19"/>
    </row>
    <row r="28" spans="1:4" ht="20" customHeight="1">
      <c r="A28" s="17" t="s">
        <v>709</v>
      </c>
      <c r="B28" s="18" t="s">
        <v>710</v>
      </c>
      <c r="C28" s="26" t="s">
        <v>711</v>
      </c>
      <c r="D28" s="19" t="s">
        <v>712</v>
      </c>
    </row>
    <row r="29" spans="1:4" ht="20" customHeight="1">
      <c r="A29" s="17" t="s">
        <v>713</v>
      </c>
      <c r="B29" s="18" t="s">
        <v>653</v>
      </c>
      <c r="C29" s="26" t="s">
        <v>654</v>
      </c>
      <c r="D29" s="19" t="s">
        <v>714</v>
      </c>
    </row>
    <row r="30" spans="1:4" ht="20" customHeight="1">
      <c r="A30" s="17" t="s">
        <v>713</v>
      </c>
      <c r="B30" s="18" t="s">
        <v>656</v>
      </c>
      <c r="C30" s="26" t="s">
        <v>715</v>
      </c>
      <c r="D30" s="19"/>
    </row>
    <row r="31" spans="1:4" ht="20" customHeight="1">
      <c r="A31" s="17" t="s">
        <v>713</v>
      </c>
      <c r="B31" s="18" t="s">
        <v>716</v>
      </c>
      <c r="C31" s="26" t="s">
        <v>717</v>
      </c>
      <c r="D31" s="19"/>
    </row>
    <row r="32" spans="1:4" ht="20" customHeight="1">
      <c r="A32" s="20" t="s">
        <v>713</v>
      </c>
      <c r="B32" s="21" t="s">
        <v>718</v>
      </c>
      <c r="C32" s="27" t="s">
        <v>719</v>
      </c>
      <c r="D32" s="21"/>
    </row>
    <row r="33" spans="1:4" ht="20" customHeight="1">
      <c r="A33" s="20" t="s">
        <v>720</v>
      </c>
      <c r="B33" s="21" t="s">
        <v>721</v>
      </c>
      <c r="C33" s="27" t="s">
        <v>722</v>
      </c>
      <c r="D33" s="21" t="s">
        <v>723</v>
      </c>
    </row>
    <row r="34" spans="1:4" ht="20" customHeight="1">
      <c r="A34" s="40" t="s">
        <v>720</v>
      </c>
      <c r="B34" s="41" t="s">
        <v>724</v>
      </c>
      <c r="C34" s="42" t="s">
        <v>725</v>
      </c>
      <c r="D34" s="41" t="s">
        <v>723</v>
      </c>
    </row>
    <row r="35" spans="1:4" ht="20" customHeight="1">
      <c r="A35" s="20" t="s">
        <v>726</v>
      </c>
      <c r="B35" s="21" t="s">
        <v>653</v>
      </c>
      <c r="C35" s="27" t="s">
        <v>654</v>
      </c>
      <c r="D35" s="21" t="s">
        <v>727</v>
      </c>
    </row>
    <row r="36" spans="1:4" ht="20" customHeight="1">
      <c r="A36" s="20" t="s">
        <v>726</v>
      </c>
      <c r="B36" s="21" t="s">
        <v>656</v>
      </c>
      <c r="C36" s="27" t="s">
        <v>728</v>
      </c>
      <c r="D36" s="21"/>
    </row>
    <row r="37" spans="1:4" ht="20" customHeight="1">
      <c r="A37" s="20" t="s">
        <v>726</v>
      </c>
      <c r="B37" s="21" t="s">
        <v>729</v>
      </c>
      <c r="C37" s="27" t="s">
        <v>730</v>
      </c>
      <c r="D37" s="21"/>
    </row>
    <row r="38" spans="1:4" ht="20" customHeight="1">
      <c r="A38" s="23" t="s">
        <v>731</v>
      </c>
      <c r="B38" s="22" t="s">
        <v>732</v>
      </c>
      <c r="C38" s="28" t="s">
        <v>733</v>
      </c>
      <c r="D38" s="22" t="s">
        <v>734</v>
      </c>
    </row>
    <row r="39" spans="1:4" ht="20" customHeight="1">
      <c r="A39" s="23" t="s">
        <v>731</v>
      </c>
      <c r="B39" s="22" t="s">
        <v>735</v>
      </c>
      <c r="C39" s="28" t="s">
        <v>736</v>
      </c>
      <c r="D39" s="22" t="s">
        <v>737</v>
      </c>
    </row>
    <row r="40" spans="1:4" ht="20" customHeight="1">
      <c r="A40" s="23" t="s">
        <v>738</v>
      </c>
      <c r="B40" s="22" t="s">
        <v>739</v>
      </c>
      <c r="C40" s="28" t="s">
        <v>740</v>
      </c>
      <c r="D40" s="22" t="s">
        <v>741</v>
      </c>
    </row>
    <row r="41" spans="1:4" ht="20" customHeight="1">
      <c r="A41" s="23" t="s">
        <v>738</v>
      </c>
      <c r="B41" s="22" t="s">
        <v>742</v>
      </c>
      <c r="C41" s="28" t="s">
        <v>743</v>
      </c>
      <c r="D41" s="22" t="s">
        <v>744</v>
      </c>
    </row>
    <row r="42" spans="1:4" ht="20" customHeight="1">
      <c r="A42" s="23" t="s">
        <v>738</v>
      </c>
      <c r="B42" s="22" t="s">
        <v>745</v>
      </c>
      <c r="C42" s="28" t="s">
        <v>746</v>
      </c>
      <c r="D42" s="22" t="s">
        <v>747</v>
      </c>
    </row>
    <row r="43" spans="1:4" ht="20" customHeight="1">
      <c r="A43" s="23" t="s">
        <v>748</v>
      </c>
      <c r="B43" s="22" t="s">
        <v>653</v>
      </c>
      <c r="C43" s="28" t="s">
        <v>749</v>
      </c>
      <c r="D43" s="22" t="s">
        <v>750</v>
      </c>
    </row>
    <row r="44" spans="1:4" ht="20" customHeight="1">
      <c r="A44" s="23" t="s">
        <v>748</v>
      </c>
      <c r="B44" s="22" t="s">
        <v>656</v>
      </c>
      <c r="C44" s="28" t="s">
        <v>751</v>
      </c>
      <c r="D44" s="22" t="s">
        <v>752</v>
      </c>
    </row>
    <row r="45" spans="1:4" ht="20" customHeight="1">
      <c r="A45" s="23" t="s">
        <v>748</v>
      </c>
      <c r="B45" s="22" t="s">
        <v>659</v>
      </c>
      <c r="C45" s="28" t="s">
        <v>753</v>
      </c>
      <c r="D45" s="22"/>
    </row>
    <row r="46" spans="1:4" ht="20" customHeight="1">
      <c r="A46" s="23" t="s">
        <v>748</v>
      </c>
      <c r="B46" s="22" t="s">
        <v>754</v>
      </c>
      <c r="C46" s="28" t="s">
        <v>755</v>
      </c>
      <c r="D46" s="22" t="s">
        <v>756</v>
      </c>
    </row>
    <row r="47" spans="1:4" ht="35.25" customHeight="1">
      <c r="A47" s="23" t="s">
        <v>748</v>
      </c>
      <c r="B47" s="22" t="s">
        <v>757</v>
      </c>
      <c r="C47" s="28" t="s">
        <v>758</v>
      </c>
      <c r="D47" s="22" t="s">
        <v>759</v>
      </c>
    </row>
    <row r="48" spans="1:4" ht="20" customHeight="1">
      <c r="A48" s="24" t="s">
        <v>760</v>
      </c>
      <c r="B48" s="25" t="s">
        <v>761</v>
      </c>
      <c r="C48" s="29" t="s">
        <v>762</v>
      </c>
      <c r="D48" s="25" t="s">
        <v>763</v>
      </c>
    </row>
    <row r="49" spans="1:4" ht="20" customHeight="1">
      <c r="A49" s="12"/>
      <c r="B49" s="12"/>
      <c r="C49" s="12"/>
      <c r="D49" s="12"/>
    </row>
    <row r="50" spans="1:4" ht="20" customHeight="1">
      <c r="A50" s="13" t="s">
        <v>764</v>
      </c>
      <c r="B50" s="13"/>
      <c r="C50" s="13"/>
      <c r="D50" s="13"/>
    </row>
    <row r="51" spans="1:4" ht="35.25" customHeight="1">
      <c r="A51" s="12" t="s">
        <v>50</v>
      </c>
      <c r="B51" s="12" t="s">
        <v>765</v>
      </c>
      <c r="C51" s="12" t="s">
        <v>766</v>
      </c>
      <c r="D51" s="12"/>
    </row>
    <row r="52" spans="1:4" ht="35.25" customHeight="1">
      <c r="A52" s="12" t="s">
        <v>52</v>
      </c>
      <c r="B52" s="12" t="s">
        <v>767</v>
      </c>
      <c r="C52" s="12" t="s">
        <v>768</v>
      </c>
      <c r="D52" s="12"/>
    </row>
    <row r="53" spans="1:4" ht="35.25" customHeight="1">
      <c r="A53" s="12" t="s">
        <v>54</v>
      </c>
      <c r="B53" s="12" t="s">
        <v>769</v>
      </c>
      <c r="C53" s="12" t="s">
        <v>770</v>
      </c>
      <c r="D53" s="12"/>
    </row>
    <row r="54" spans="1:4" ht="35.25" customHeight="1">
      <c r="A54" s="12" t="s">
        <v>56</v>
      </c>
      <c r="B54" s="12" t="s">
        <v>771</v>
      </c>
      <c r="C54" s="12" t="s">
        <v>772</v>
      </c>
      <c r="D54" s="12"/>
    </row>
    <row r="55" spans="1:4" ht="21" customHeight="1"/>
    <row r="56" spans="1:4" ht="21" customHeight="1"/>
    <row r="57" spans="1:4" ht="21" customHeight="1"/>
    <row r="58" spans="1:4" ht="21" customHeight="1"/>
    <row r="59" spans="1:4" ht="21" customHeight="1"/>
    <row r="60" spans="1:4" ht="21" customHeight="1"/>
    <row r="61" spans="1:4" ht="21" customHeight="1"/>
    <row r="62" spans="1:4" ht="21" customHeight="1"/>
    <row r="63" spans="1:4" ht="21" customHeight="1"/>
    <row r="64" spans="1: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3">
    <mergeCell ref="A1:D1"/>
    <mergeCell ref="A2:D2"/>
    <mergeCell ref="A34:D3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00_Overview</vt:lpstr>
      <vt:lpstr>01_Authentication</vt:lpstr>
      <vt:lpstr>02_Products</vt:lpstr>
      <vt:lpstr>03_Cart</vt:lpstr>
      <vt:lpstr>04_Checkout</vt:lpstr>
      <vt:lpstr>05_Support</vt:lpstr>
      <vt:lpstr>06_Navigation</vt:lpstr>
      <vt:lpstr>07_API</vt:lpstr>
      <vt:lpstr>98_Jira_Review</vt:lpstr>
      <vt:lpstr>99_Test_Data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modified xsi:type="dcterms:W3CDTF">2026-09-27T11:14:07Z</dcterms:modified>
</cp:coreProperties>
</file>