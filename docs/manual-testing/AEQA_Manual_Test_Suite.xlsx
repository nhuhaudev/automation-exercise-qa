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mc:AlternateContent xmlns:mc="http://schemas.openxmlformats.org/markup-compatibility/2006">
    <mc:Choice Requires="x15">
      <x15ac:absPath xmlns:x15ac="http://schemas.microsoft.com/office/spreadsheetml/2010/11/ac" url="/Users/admin/Documents/automation-exercise-qa/docs/manual-testing/"/>
    </mc:Choice>
  </mc:AlternateContent>
  <xr:revisionPtr revIDLastSave="0" documentId="13_ncr:1_{19C1D771-DAB5-3547-BD6B-1DACB9CFCDE4}" xr6:coauthVersionLast="47" xr6:coauthVersionMax="47" xr10:uidLastSave="{00000000-0000-0000-0000-000000000000}"/>
  <bookViews>
    <workbookView xWindow="0" yWindow="580" windowWidth="25600" windowHeight="14440" activeTab="7" xr2:uid="{00000000-000D-0000-FFFF-FFFF00000000}"/>
  </bookViews>
  <sheets>
    <sheet name="00_Overview" sheetId="1" r:id="rId1"/>
    <sheet name="01_Authentication" sheetId="2" r:id="rId2"/>
    <sheet name="02_Products" sheetId="3" r:id="rId3"/>
    <sheet name="03_Cart" sheetId="4" r:id="rId4"/>
    <sheet name="04_Checkout" sheetId="5" r:id="rId5"/>
    <sheet name="05_Support" sheetId="6" r:id="rId6"/>
    <sheet name="06_Navigation" sheetId="7" r:id="rId7"/>
    <sheet name="07_API" sheetId="8" r:id="rId8"/>
    <sheet name="98_Jira_Review" sheetId="9" r:id="rId9"/>
    <sheet name="99_Test_Data"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9" i="1" l="1"/>
  <c r="J19" i="1"/>
  <c r="I19" i="1"/>
  <c r="H19" i="1"/>
  <c r="G19" i="1"/>
  <c r="F19" i="1"/>
  <c r="E19" i="1"/>
  <c r="D19" i="1"/>
  <c r="K18" i="1"/>
  <c r="J18" i="1"/>
  <c r="I18" i="1"/>
  <c r="H18" i="1"/>
  <c r="G18" i="1"/>
  <c r="F18" i="1"/>
  <c r="E18" i="1"/>
  <c r="D18" i="1"/>
  <c r="K17" i="1"/>
  <c r="J17" i="1"/>
  <c r="I17" i="1"/>
  <c r="H17" i="1"/>
  <c r="G17" i="1"/>
  <c r="F17" i="1"/>
  <c r="E17" i="1"/>
  <c r="D17" i="1"/>
  <c r="K16" i="1"/>
  <c r="J16" i="1"/>
  <c r="I16" i="1"/>
  <c r="H16" i="1"/>
  <c r="G16" i="1"/>
  <c r="F16" i="1"/>
  <c r="E16" i="1"/>
  <c r="D16" i="1"/>
  <c r="K15" i="1"/>
  <c r="J15" i="1"/>
  <c r="I15" i="1"/>
  <c r="H15" i="1"/>
  <c r="G15" i="1"/>
  <c r="F15" i="1"/>
  <c r="E15" i="1"/>
  <c r="D15" i="1"/>
  <c r="K14" i="1"/>
  <c r="J14" i="1"/>
  <c r="I14" i="1"/>
  <c r="H14" i="1"/>
  <c r="G14" i="1"/>
  <c r="F14" i="1"/>
  <c r="E14" i="1"/>
  <c r="D14" i="1"/>
  <c r="K13" i="1"/>
  <c r="J13" i="1"/>
  <c r="I13" i="1"/>
  <c r="H13" i="1"/>
  <c r="G13" i="1"/>
  <c r="F13" i="1"/>
  <c r="E13" i="1"/>
  <c r="D13" i="1"/>
  <c r="E9" i="1"/>
  <c r="E8" i="1"/>
  <c r="E7" i="1"/>
  <c r="E6" i="1"/>
  <c r="E5" i="1"/>
  <c r="E4" i="1"/>
</calcChain>
</file>

<file path=xl/sharedStrings.xml><?xml version="1.0" encoding="utf-8"?>
<sst xmlns="http://schemas.openxmlformats.org/spreadsheetml/2006/main" count="1843" uniqueCount="773">
  <si>
    <t>Automation Exercise QA - Manual Test Suite</t>
  </si>
  <si>
    <t>Project</t>
  </si>
  <si>
    <t>Automation Exercise QA</t>
  </si>
  <si>
    <t>KPI</t>
  </si>
  <si>
    <t>Value</t>
  </si>
  <si>
    <t>System Under Test</t>
  </si>
  <si>
    <t>https://www.automationexercise.com/</t>
  </si>
  <si>
    <t>Total Manual Test Cases</t>
  </si>
  <si>
    <t>Requirement Source</t>
  </si>
  <si>
    <t>Jira simulated portfolio backlog + Automation Exercise public test/API scenarios</t>
  </si>
  <si>
    <t>Automation Candidate = Yes</t>
  </si>
  <si>
    <t>Execution Status</t>
  </si>
  <si>
    <t>Ready for manual execution</t>
  </si>
  <si>
    <t>Automation Candidate = Later</t>
  </si>
  <si>
    <t>Automation Candidate = No</t>
  </si>
  <si>
    <t>Status = Not Run</t>
  </si>
  <si>
    <t>Status = Fail</t>
  </si>
  <si>
    <t>Epic ID</t>
  </si>
  <si>
    <t>Epic</t>
  </si>
  <si>
    <t>Sheet</t>
  </si>
  <si>
    <t>Test Cases</t>
  </si>
  <si>
    <t>Auto Yes</t>
  </si>
  <si>
    <t>Auto Later</t>
  </si>
  <si>
    <t>Auto No</t>
  </si>
  <si>
    <t>Not Run</t>
  </si>
  <si>
    <t>Pass</t>
  </si>
  <si>
    <t>Fail</t>
  </si>
  <si>
    <t>Blocked</t>
  </si>
  <si>
    <t>AEQA-1</t>
  </si>
  <si>
    <t>Authentication &amp; Account Management</t>
  </si>
  <si>
    <t>01_Authentication</t>
  </si>
  <si>
    <t>AEQA-2</t>
  </si>
  <si>
    <t>Product Catalog &amp; Discovery</t>
  </si>
  <si>
    <t>02_Products</t>
  </si>
  <si>
    <t>AEQA-3</t>
  </si>
  <si>
    <t>Shopping Cart Management</t>
  </si>
  <si>
    <t>03_Cart</t>
  </si>
  <si>
    <t>AEQA-4</t>
  </si>
  <si>
    <t>Checkout &amp; Order Management</t>
  </si>
  <si>
    <t>04_Checkout</t>
  </si>
  <si>
    <t>AEQA-5</t>
  </si>
  <si>
    <t>Customer Engagement &amp; Support</t>
  </si>
  <si>
    <t>05_Support</t>
  </si>
  <si>
    <t>AEQA-6</t>
  </si>
  <si>
    <t>Navigation &amp; UI Behavior</t>
  </si>
  <si>
    <t>06_Navigation</t>
  </si>
  <si>
    <t>AEQA-7</t>
  </si>
  <si>
    <t>API Testing</t>
  </si>
  <si>
    <t>07_API</t>
  </si>
  <si>
    <t>How to use this workbook</t>
  </si>
  <si>
    <t>1</t>
  </si>
  <si>
    <t>Review the test case before execution.</t>
  </si>
  <si>
    <t>2</t>
  </si>
  <si>
    <t>Prepare the required test data from 99_Test_Data.</t>
  </si>
  <si>
    <t>3</t>
  </si>
  <si>
    <t>Execute manually on Automation Exercise.</t>
  </si>
  <si>
    <t>4</t>
  </si>
  <si>
    <t>Fill Actual Result, Status, and Evidence / Notes.</t>
  </si>
  <si>
    <t>5</t>
  </si>
  <si>
    <t>6</t>
  </si>
  <si>
    <t>Retest when applicable and update Status.</t>
  </si>
  <si>
    <t>7</t>
  </si>
  <si>
    <t>Test Case ID</t>
  </si>
  <si>
    <t>Story ID</t>
  </si>
  <si>
    <t>Story</t>
  </si>
  <si>
    <t>AC Ref</t>
  </si>
  <si>
    <t>Scenario</t>
  </si>
  <si>
    <t>Test Case Title</t>
  </si>
  <si>
    <t>Precondition</t>
  </si>
  <si>
    <t>Test Steps</t>
  </si>
  <si>
    <t>Test Data</t>
  </si>
  <si>
    <t>Expected Result</t>
  </si>
  <si>
    <t>Actual Result</t>
  </si>
  <si>
    <t>Status</t>
  </si>
  <si>
    <t>Priority</t>
  </si>
  <si>
    <t>Test Type</t>
  </si>
  <si>
    <t>Automation Candidate</t>
  </si>
  <si>
    <t>Auto Priority</t>
  </si>
  <si>
    <t>Bug ID</t>
  </si>
  <si>
    <t>Evidence / Notes</t>
  </si>
  <si>
    <t>Source Case</t>
  </si>
  <si>
    <t>Source URL</t>
  </si>
  <si>
    <t>TC-AUTH-001</t>
  </si>
  <si>
    <t>AEQA-8</t>
  </si>
  <si>
    <t>User Registration</t>
  </si>
  <si>
    <t>AC1, AC2</t>
  </si>
  <si>
    <t>Register with valid information</t>
  </si>
  <si>
    <t>Verify a new user can register successfully</t>
  </si>
  <si>
    <t>User is logged out.
Email address has not been registered before.</t>
  </si>
  <si>
    <t>1. Open Automation Exercise.
2. Verify Home page is visible.
3. Click 'Signup / Login'.
4. Verify 'New User Signup!' is visible.
5. Enter valid name and unique email.
6. Click 'Signup'.
7. Verify 'ENTER ACCOUNT INFORMATION' is visible.
8. Fill required account information.
9. Fill required address information.
10. Click 'Create Account'.
11. Verify 'ACCOUNT CREATED!'.
12. Click 'Continue'.
13. Verify 'Logged in as &lt;username&gt;'.</t>
  </si>
  <si>
    <t>Account is created successfully.
'ACCOUNT CREATED!' is displayed.
After Continue, user is logged in and 'Logged in as &lt;username&gt;' is displayed.</t>
  </si>
  <si>
    <t>High</t>
  </si>
  <si>
    <t>Positive / Functional</t>
  </si>
  <si>
    <t>Yes</t>
  </si>
  <si>
    <t>P1</t>
  </si>
  <si>
    <t>UI Test Case 1</t>
  </si>
  <si>
    <t>https://www.automationexercise.com/test_cases</t>
  </si>
  <si>
    <t>TC-AUTH-002</t>
  </si>
  <si>
    <t>AC3</t>
  </si>
  <si>
    <t>Register with existing email</t>
  </si>
  <si>
    <t>Verify registration is rejected for an existing email</t>
  </si>
  <si>
    <t>A registered account already exists.
User is logged out.</t>
  </si>
  <si>
    <t>1. Open Automation Exercise.
2. Click 'Signup / Login'.
3. Verify 'New User Signup!' is visible.
4. Enter a name.
5. Enter an already registered email.
6. Click 'Signup'.</t>
  </si>
  <si>
    <t>Registration does not continue.
'Email Address already exist!' is displayed.</t>
  </si>
  <si>
    <t>Negative / Functional</t>
  </si>
  <si>
    <t>P2</t>
  </si>
  <si>
    <t>UI Test Case 5</t>
  </si>
  <si>
    <t>TC-AUTH-003</t>
  </si>
  <si>
    <t>Derived</t>
  </si>
  <si>
    <t>Validate required signup fields</t>
  </si>
  <si>
    <t>Verify signup cannot continue when Name is empty</t>
  </si>
  <si>
    <t>User is on the Signup / Login page.</t>
  </si>
  <si>
    <t>1. Leave Name empty.
2. Enter a valid new email.
3. Click 'Signup'.</t>
  </si>
  <si>
    <t>Signup does not continue and required-field validation prevents submission.</t>
  </si>
  <si>
    <t>Medium</t>
  </si>
  <si>
    <t>Negative / Validation</t>
  </si>
  <si>
    <t>Later</t>
  </si>
  <si>
    <t>P3</t>
  </si>
  <si>
    <t>Exploratory validation derived from form constraints</t>
  </si>
  <si>
    <t>TC-AUTH-004</t>
  </si>
  <si>
    <t>Verify signup cannot continue when Email is empty</t>
  </si>
  <si>
    <t>1. Enter a valid name.
2. Leave Email empty.
3. Click 'Signup'.</t>
  </si>
  <si>
    <t>TC-AUTH-005</t>
  </si>
  <si>
    <t>Validate email format</t>
  </si>
  <si>
    <t>Verify signup rejects an invalid email format</t>
  </si>
  <si>
    <t>1. Enter a valid name.
2. Enter an invalid email format such as 'testemail'.
3. Click 'Signup'.</t>
  </si>
  <si>
    <t>Signup does not continue with an invalid email format.</t>
  </si>
  <si>
    <t>TC-AUTH-006</t>
  </si>
  <si>
    <t>AEQA-9</t>
  </si>
  <si>
    <t>User Login</t>
  </si>
  <si>
    <t>AC1</t>
  </si>
  <si>
    <t>Login with valid credentials</t>
  </si>
  <si>
    <t>Verify registered user can login with valid credentials</t>
  </si>
  <si>
    <t>A registered account exists.
User is logged out.</t>
  </si>
  <si>
    <t>1. Open Automation Exercise.
2. Click 'Signup / Login'.
3. Verify 'Login to your account' is visible.
4. Enter registered email and correct password.
5. Click 'Login'.</t>
  </si>
  <si>
    <t>Login succeeds and 'Logged in as &lt;username&gt;' is displayed.</t>
  </si>
  <si>
    <t>UI Test Case 2</t>
  </si>
  <si>
    <t>TC-AUTH-007</t>
  </si>
  <si>
    <t>AC2</t>
  </si>
  <si>
    <t>Login with invalid credentials</t>
  </si>
  <si>
    <t>Verify login fails with invalid email and valid password</t>
  </si>
  <si>
    <t>User is logged out.</t>
  </si>
  <si>
    <t>1. Open Signup / Login page.
2. Enter an unregistered email.
3. Enter a valid-format password.
4. Click 'Login'.</t>
  </si>
  <si>
    <t>User is not logged in and 'Your email or password is incorrect!' is displayed.</t>
  </si>
  <si>
    <t>UI Test Case 3</t>
  </si>
  <si>
    <t>TC-AUTH-008</t>
  </si>
  <si>
    <t>Verify login fails with valid email and invalid password</t>
  </si>
  <si>
    <t>1. Open Signup / Login page.
2. Enter registered email.
3. Enter incorrect password.
4. Click 'Login'.</t>
  </si>
  <si>
    <t>TC-AUTH-009</t>
  </si>
  <si>
    <t>Validate required login fields</t>
  </si>
  <si>
    <t>Verify login cannot continue when Email is empty</t>
  </si>
  <si>
    <t>1. Leave Email empty.
2. Enter a password.
3. Click 'Login'.</t>
  </si>
  <si>
    <t>Login does not continue and required-field validation prevents submission.</t>
  </si>
  <si>
    <t>TC-AUTH-010</t>
  </si>
  <si>
    <t>Verify login cannot continue when Password is empty</t>
  </si>
  <si>
    <t>1. Enter a registered email.
2. Leave Password empty.
3. Click 'Login'.</t>
  </si>
  <si>
    <t>TC-AUTH-011</t>
  </si>
  <si>
    <t>AEQA-10</t>
  </si>
  <si>
    <t>User Logout</t>
  </si>
  <si>
    <t>Logout authenticated user</t>
  </si>
  <si>
    <t>Verify a logged-in user can logout successfully</t>
  </si>
  <si>
    <t>User is logged in.</t>
  </si>
  <si>
    <t>1. Verify 'Logged in as &lt;username&gt;' is visible.
2. Click 'Logout'.</t>
  </si>
  <si>
    <t>User is logged out, redirected to Signup / Login page, and authenticated user state is no longer shown.</t>
  </si>
  <si>
    <t>UI Test Case 4</t>
  </si>
  <si>
    <t>TC-AUTH-012</t>
  </si>
  <si>
    <t>AEQA-11</t>
  </si>
  <si>
    <t>Account Deletion</t>
  </si>
  <si>
    <t>Delete authenticated account</t>
  </si>
  <si>
    <t>Verify a logged-in user can delete the account</t>
  </si>
  <si>
    <t>User is logged in with a disposable test account.</t>
  </si>
  <si>
    <t>1. Verify user is logged in.
2. Click 'Delete Account'.
3. Verify deletion confirmation.</t>
  </si>
  <si>
    <t>Account is deleted successfully and 'ACCOUNT DELETED!' is displayed.</t>
  </si>
  <si>
    <t>UI Test Case 1 / account cleanup step</t>
  </si>
  <si>
    <t>TC-AUTH-013</t>
  </si>
  <si>
    <t>Verify account lifecycle after deletion</t>
  </si>
  <si>
    <t>Verify deleted account cannot login again</t>
  </si>
  <si>
    <t>A disposable account was deleted successfully.</t>
  </si>
  <si>
    <t>1. Open Signup / Login page.
2. Enter the deleted account email and password.
3. Click 'Login'.</t>
  </si>
  <si>
    <t>User is not logged in and the invalid-credentials error is displayed.</t>
  </si>
  <si>
    <t>Negative / Regression</t>
  </si>
  <si>
    <t>Derived lifecycle regression</t>
  </si>
  <si>
    <t>TC-PROD-001</t>
  </si>
  <si>
    <t>AEQA-12</t>
  </si>
  <si>
    <t>View Product Catalog</t>
  </si>
  <si>
    <t>View product catalog</t>
  </si>
  <si>
    <t>Verify user can open the Products page</t>
  </si>
  <si>
    <t>User is on the Home page.</t>
  </si>
  <si>
    <t>1. Click 'Products'.
2. Observe the destination page.</t>
  </si>
  <si>
    <t>N/A</t>
  </si>
  <si>
    <t>User is navigated to the ALL PRODUCTS page successfully.</t>
  </si>
  <si>
    <t>UI Test Case 8</t>
  </si>
  <si>
    <t>TC-PROD-002</t>
  </si>
  <si>
    <t>Verify available products are visible on the Products page</t>
  </si>
  <si>
    <t>User is on the ALL PRODUCTS page.</t>
  </si>
  <si>
    <t>1. Observe the product list.</t>
  </si>
  <si>
    <t>The products list is visible and contains available products.</t>
  </si>
  <si>
    <t>Positive / UI</t>
  </si>
  <si>
    <t>TC-PROD-003</t>
  </si>
  <si>
    <t>AEQA-13</t>
  </si>
  <si>
    <t>View Product Details</t>
  </si>
  <si>
    <t>View product details</t>
  </si>
  <si>
    <t>Verify user can open the first product detail page</t>
  </si>
  <si>
    <t>1. Click 'View Product' for the first product.</t>
  </si>
  <si>
    <t>First visible product</t>
  </si>
  <si>
    <t>User lands on the Product Detail page.</t>
  </si>
  <si>
    <t>TC-PROD-004</t>
  </si>
  <si>
    <t>Verify core product information is displayed</t>
  </si>
  <si>
    <t>User is on a Product Detail page.</t>
  </si>
  <si>
    <t>1. Verify product name.
2. Verify category.
3. Verify price.
4. Verify availability.
5. Verify condition.
6. Verify brand.</t>
  </si>
  <si>
    <t>Any available product</t>
  </si>
  <si>
    <t>Name, category, price, availability, condition, and brand are all visible.</t>
  </si>
  <si>
    <t>TC-PROD-005</t>
  </si>
  <si>
    <t>AEQA-14</t>
  </si>
  <si>
    <t>Search Products</t>
  </si>
  <si>
    <t>Search with product keyword</t>
  </si>
  <si>
    <t>Verify search returns products related to 'top'</t>
  </si>
  <si>
    <t>1. Enter 'top' in the search input.
2. Click Search.
3. Verify 'SEARCHED PRODUCTS'.
4. Review returned products.</t>
  </si>
  <si>
    <t>'SEARCHED PRODUCTS' is visible and returned products are related to the search keyword.</t>
  </si>
  <si>
    <t>UI Test Case 9</t>
  </si>
  <si>
    <t>TC-PROD-006</t>
  </si>
  <si>
    <t>Verify search works with another supported keyword</t>
  </si>
  <si>
    <t>1. Enter 'jean' in the search input.
2. Click Search.
3. Verify searched products.</t>
  </si>
  <si>
    <t>Searched products section is displayed and matching products are shown.</t>
  </si>
  <si>
    <t>Positive / Data-driven</t>
  </si>
  <si>
    <t>TC-PROD-007</t>
  </si>
  <si>
    <t>AEQA-15</t>
  </si>
  <si>
    <t>Browse Products by Category</t>
  </si>
  <si>
    <t>Browse a product category</t>
  </si>
  <si>
    <t>Verify products can be viewed by Women category and subcategory</t>
  </si>
  <si>
    <t>Categories are visible on the left sidebar.</t>
  </si>
  <si>
    <t>1. Click 'Women'.
2. Click a Women subcategory such as 'Dress'.
3. Observe the category page and products.</t>
  </si>
  <si>
    <t>Category: Women
Subcategory: Dress</t>
  </si>
  <si>
    <t>Selected category page is displayed and products for the selected category are shown.</t>
  </si>
  <si>
    <t>UI Test Case 18</t>
  </si>
  <si>
    <t>TC-PROD-008</t>
  </si>
  <si>
    <t>Switch product category</t>
  </si>
  <si>
    <t>Verify user can switch from Women to a Men subcategory</t>
  </si>
  <si>
    <t>User is viewing a Women category page.</t>
  </si>
  <si>
    <t>1. Select a subcategory under 'Men'.
2. Observe the destination page.</t>
  </si>
  <si>
    <t>Category: Men
Any available subcategory</t>
  </si>
  <si>
    <t>User is navigated to the selected Men category page and its products are displayed.</t>
  </si>
  <si>
    <t>TC-PROD-009</t>
  </si>
  <si>
    <t>AEQA-16</t>
  </si>
  <si>
    <t>Browse Products by Brand</t>
  </si>
  <si>
    <t>Browse products by brand</t>
  </si>
  <si>
    <t>Verify user can view products for a selected brand</t>
  </si>
  <si>
    <t>User is on the Products page and Brands are visible.</t>
  </si>
  <si>
    <t>1. Click any brand name.
2. Observe the brand page.</t>
  </si>
  <si>
    <t>Use any visible brand.</t>
  </si>
  <si>
    <t>User is navigated to the selected brand page and brand products are displayed.</t>
  </si>
  <si>
    <t>UI Test Case 19</t>
  </si>
  <si>
    <t>TC-PROD-010</t>
  </si>
  <si>
    <t>Switch brand</t>
  </si>
  <si>
    <t>Verify user can switch from one brand to another</t>
  </si>
  <si>
    <t>User is viewing products for one brand.</t>
  </si>
  <si>
    <t>1. Click another brand link.
2. Observe the destination page.</t>
  </si>
  <si>
    <t>Use a second visible brand.</t>
  </si>
  <si>
    <t>User is navigated to the newly selected brand page and corresponding products are displayed.</t>
  </si>
  <si>
    <t>TC-PROD-011</t>
  </si>
  <si>
    <t>AEQA-17</t>
  </si>
  <si>
    <t>Submit Product Review</t>
  </si>
  <si>
    <t>Submit product review</t>
  </si>
  <si>
    <t>Verify a valid product review can be submitted</t>
  </si>
  <si>
    <t>User is on a Product Detail page and 'Write Your Review' is visible.</t>
  </si>
  <si>
    <t>1. Enter name.
2. Enter email.
3. Enter review text.
4. Click 'Submit'.</t>
  </si>
  <si>
    <t>Review is submitted and 'Thank you for your review.' is displayed.</t>
  </si>
  <si>
    <t>UI Test Case 21</t>
  </si>
  <si>
    <t>TC-PROD-012</t>
  </si>
  <si>
    <t>Validate review form</t>
  </si>
  <si>
    <t>Verify review is not submitted when required email is empty</t>
  </si>
  <si>
    <t>1. Enter name.
2. Leave email empty.
3. Enter review text.
4. Click 'Submit'.</t>
  </si>
  <si>
    <t>Submission should be prevented by required-field validation.</t>
  </si>
  <si>
    <t>Low</t>
  </si>
  <si>
    <t>TC-PROD-013</t>
  </si>
  <si>
    <t>AEQA-18</t>
  </si>
  <si>
    <t>View Recommended Products</t>
  </si>
  <si>
    <t>View recommended products</t>
  </si>
  <si>
    <t>Verify Recommended Items section is visible</t>
  </si>
  <si>
    <t>1. Scroll to the bottom area of the Home page.</t>
  </si>
  <si>
    <t>'RECOMMENDED ITEMS' is visible and recommended products are displayed.</t>
  </si>
  <si>
    <t>UI Test Case 22</t>
  </si>
  <si>
    <t>TC-PROD-014</t>
  </si>
  <si>
    <t>Add recommended product to cart</t>
  </si>
  <si>
    <t>Verify a recommended product can be added to cart</t>
  </si>
  <si>
    <t>Recommended Items section is visible.</t>
  </si>
  <si>
    <t>1. Click 'Add To Cart' on a recommended product.
2. Click 'View Cart'.</t>
  </si>
  <si>
    <t>Any recommended product</t>
  </si>
  <si>
    <t>Selected recommended product is displayed in the Cart.</t>
  </si>
  <si>
    <t>TC-CART-001</t>
  </si>
  <si>
    <t>AEQA-19</t>
  </si>
  <si>
    <t>Add Products to Cart</t>
  </si>
  <si>
    <t>Add one product to cart</t>
  </si>
  <si>
    <t>Verify one product can be added to cart</t>
  </si>
  <si>
    <t>User is viewing an available product.</t>
  </si>
  <si>
    <t>1. Click 'Add to cart'.
2. Click 'View Cart'.</t>
  </si>
  <si>
    <t>Selected product is displayed in the Cart.</t>
  </si>
  <si>
    <t>Derived from UI Test Case 12</t>
  </si>
  <si>
    <t>TC-CART-002</t>
  </si>
  <si>
    <t>Add multiple products to cart</t>
  </si>
  <si>
    <t>Verify two products are added with correct cart details</t>
  </si>
  <si>
    <t>User is on the Products page.</t>
  </si>
  <si>
    <t>1. Add first product to cart.
2. Click 'Continue Shopping'.
3. Add second product.
4. Click 'View Cart'.
5. Verify both products.
6. Verify price, quantity, and total.</t>
  </si>
  <si>
    <t>First two available products</t>
  </si>
  <si>
    <t>Both products are present and their price, quantity, and total values are displayed correctly.</t>
  </si>
  <si>
    <t>UI Test Case 12</t>
  </si>
  <si>
    <t>TC-CART-003</t>
  </si>
  <si>
    <t>Continue shopping after adding product</t>
  </si>
  <si>
    <t>Verify Continue Shopping keeps previously added item</t>
  </si>
  <si>
    <t>One product has just been added to cart.</t>
  </si>
  <si>
    <t>1. Click 'Continue Shopping'.
2. Add a second product.
3. Open Cart.</t>
  </si>
  <si>
    <t>Two available products</t>
  </si>
  <si>
    <t>Previously added product remains in the Cart together with the second product.</t>
  </si>
  <si>
    <t>Positive / Regression</t>
  </si>
  <si>
    <t>TC-CART-004</t>
  </si>
  <si>
    <t>AEQA-20</t>
  </si>
  <si>
    <t>Update Product Quantity</t>
  </si>
  <si>
    <t>Add product with selected quantity</t>
  </si>
  <si>
    <t>Verify selected quantity 4 is preserved in cart</t>
  </si>
  <si>
    <t>1. Set quantity to 4.
2. Click 'Add to cart'.
3. Click 'View Cart'.</t>
  </si>
  <si>
    <t>Quantity: 4</t>
  </si>
  <si>
    <t>Product is displayed in Cart with quantity exactly 4.</t>
  </si>
  <si>
    <t>UI Test Case 13</t>
  </si>
  <si>
    <t>TC-CART-005</t>
  </si>
  <si>
    <t>Verify default quantity</t>
  </si>
  <si>
    <t>Verify default quantity is carried to cart</t>
  </si>
  <si>
    <t>1. Leave quantity at its default value.
2. Add product to cart.
3. Open Cart.</t>
  </si>
  <si>
    <t>Default quantity</t>
  </si>
  <si>
    <t>Cart displays the same default quantity selected on Product Detail page.</t>
  </si>
  <si>
    <t>Derived from Story/AC</t>
  </si>
  <si>
    <t>TC-CART-006</t>
  </si>
  <si>
    <t>AEQA-21</t>
  </si>
  <si>
    <t>Remove Product from Cart</t>
  </si>
  <si>
    <t>Remove product from cart</t>
  </si>
  <si>
    <t>Verify a product can be removed from the cart</t>
  </si>
  <si>
    <t>Cart contains at least one product.</t>
  </si>
  <si>
    <t>1. Open Cart.
2. Click the 'X' remove control for a product.</t>
  </si>
  <si>
    <t>Any cart product</t>
  </si>
  <si>
    <t>Selected product is removed and is no longer displayed in the Cart.</t>
  </si>
  <si>
    <t>UI Test Case 17</t>
  </si>
  <si>
    <t>TC-CART-007</t>
  </si>
  <si>
    <t>Remove one of multiple cart products</t>
  </si>
  <si>
    <t>Verify removing one item does not remove other items</t>
  </si>
  <si>
    <t>Cart contains at least two products.</t>
  </si>
  <si>
    <t>1. Remove one product using its 'X' control.
2. Observe remaining cart contents.</t>
  </si>
  <si>
    <t>Two or more cart products</t>
  </si>
  <si>
    <t>Selected product is removed and the other product(s) remain in the Cart.</t>
  </si>
  <si>
    <t>Derived from UI Test Case 17</t>
  </si>
  <si>
    <t>TC-CART-008</t>
  </si>
  <si>
    <t>AEQA-22</t>
  </si>
  <si>
    <t>Preserve Cart After Login</t>
  </si>
  <si>
    <t>Preserve cart after login</t>
  </si>
  <si>
    <t>Verify cart products remain after user logs in</t>
  </si>
  <si>
    <t>User is logged out.
A registered account exists.</t>
  </si>
  <si>
    <t>1. Search for a product.
2. Add searched product(s) to cart.
3. Open Cart and verify items.
4. Click 'Signup / Login'.
5. Login with valid credentials.
6. Open Cart again.</t>
  </si>
  <si>
    <t>Products added before login remain visible in the Cart after successful login.</t>
  </si>
  <si>
    <t>UI Test Case 20</t>
  </si>
  <si>
    <t>TC-CHK-001</t>
  </si>
  <si>
    <t>AEQA-24</t>
  </si>
  <si>
    <t>Register During Checkout</t>
  </si>
  <si>
    <t>Register during checkout</t>
  </si>
  <si>
    <t>Verify guest user can register during checkout and continue</t>
  </si>
  <si>
    <t>User is logged out and Cart contains at least one product.</t>
  </si>
  <si>
    <t>1. Open Cart.
2. Click 'Proceed To Checkout'.
3. Click 'Register / Login'.
4. Complete signup with valid unique data.
5. Verify 'ACCOUNT CREATED!'.
6. Click 'Continue'.
7. Return to Cart.
8. Click 'Proceed To Checkout'.</t>
  </si>
  <si>
    <t>Registration succeeds and the user can return to the checkout flow; Address Details and Review Your Order are displayed.</t>
  </si>
  <si>
    <t>Positive / E2E</t>
  </si>
  <si>
    <t>UI Test Case 14</t>
  </si>
  <si>
    <t>TC-CHK-002</t>
  </si>
  <si>
    <t>AEQA-25</t>
  </si>
  <si>
    <t>Checkout as Existing User</t>
  </si>
  <si>
    <t>Checkout as logged-in user</t>
  </si>
  <si>
    <t>Verify existing user can proceed from cart to checkout</t>
  </si>
  <si>
    <t>Registered user exists and is logged in.
Cart contains at least one product.</t>
  </si>
  <si>
    <t>1. Open Cart.
2. Verify cart page.
3. Click 'Proceed To Checkout'.</t>
  </si>
  <si>
    <t>Checkout page is displayed with Address Details and Review Your Order.</t>
  </si>
  <si>
    <t>UI Test Case 16</t>
  </si>
  <si>
    <t>TC-CHK-003</t>
  </si>
  <si>
    <t>AEQA-26</t>
  </si>
  <si>
    <t>Verify Checkout Addresses</t>
  </si>
  <si>
    <t>Verify delivery address</t>
  </si>
  <si>
    <t>Verify delivery address matches registration data</t>
  </si>
  <si>
    <t>User registered with known address data, is logged in, and has proceeded to checkout.</t>
  </si>
  <si>
    <t>1. Compare Delivery Address with registration address.</t>
  </si>
  <si>
    <t>Delivery Address matches the address entered during registration.</t>
  </si>
  <si>
    <t>Positive / Data Integrity</t>
  </si>
  <si>
    <t>UI Test Case 23</t>
  </si>
  <si>
    <t>TC-CHK-004</t>
  </si>
  <si>
    <t>Verify billing address</t>
  </si>
  <si>
    <t>Verify billing address matches registration data</t>
  </si>
  <si>
    <t>1. Compare Billing Address with registration address.</t>
  </si>
  <si>
    <t>Billing Address matches the address entered during registration.</t>
  </si>
  <si>
    <t>TC-CHK-005</t>
  </si>
  <si>
    <t>AEQA-27</t>
  </si>
  <si>
    <t>Place Order and Payment</t>
  </si>
  <si>
    <t>Place order with valid payment</t>
  </si>
  <si>
    <t>Verify user can complete order with valid payment data</t>
  </si>
  <si>
    <t>User is logged in, Cart contains product(s), and Checkout page is displayed.</t>
  </si>
  <si>
    <t>1. Enter order comment.
2. Click 'Place Order'.
3. Enter Name on Card, Card Number, CVC, Expiration.
4. Click 'Pay and Confirm Order'.</t>
  </si>
  <si>
    <t>Payment is accepted and order success confirmation is displayed.</t>
  </si>
  <si>
    <t>TC-CHK-006</t>
  </si>
  <si>
    <t>Validate payment form</t>
  </si>
  <si>
    <t>Verify payment cannot be submitted when Card Number is empty</t>
  </si>
  <si>
    <t>User is on the Payment page.</t>
  </si>
  <si>
    <t>1. Enter all payment fields except Card Number.
2. Click 'Pay and Confirm Order'.</t>
  </si>
  <si>
    <t>Order should not be completed and required-field validation should prevent payment submission.</t>
  </si>
  <si>
    <t>TC-CHK-007</t>
  </si>
  <si>
    <t>AEQA-28</t>
  </si>
  <si>
    <t>Download Invoice</t>
  </si>
  <si>
    <t>Download invoice</t>
  </si>
  <si>
    <t>Verify invoice can be downloaded after successful order</t>
  </si>
  <si>
    <t>A purchase order was completed successfully.</t>
  </si>
  <si>
    <t>1. Click 'Download Invoice'.
2. Confirm a file download is triggered.</t>
  </si>
  <si>
    <t>Successful order from TC-CHK-005.</t>
  </si>
  <si>
    <t>Invoice file downloads successfully.</t>
  </si>
  <si>
    <t>Positive / Download</t>
  </si>
  <si>
    <t>UI Test Case 24</t>
  </si>
  <si>
    <t>TC-CHK-008</t>
  </si>
  <si>
    <t>Continue after invoice download</t>
  </si>
  <si>
    <t>Verify user can continue after downloading invoice</t>
  </si>
  <si>
    <t>Invoice was downloaded successfully.</t>
  </si>
  <si>
    <t>1. Click 'Continue'.</t>
  </si>
  <si>
    <t>User can continue using the website after invoice download.</t>
  </si>
  <si>
    <t>Positive / Navigation</t>
  </si>
  <si>
    <t>TC-SUP-001</t>
  </si>
  <si>
    <t>AEQA-29</t>
  </si>
  <si>
    <t>Contact Us</t>
  </si>
  <si>
    <t>Submit contact request with attachment</t>
  </si>
  <si>
    <t>Verify Contact Us form can be submitted with a file</t>
  </si>
  <si>
    <t>1. Click 'Contact Us'.
2. Verify 'GET IN TOUCH'.
3. Enter name, email, subject, message.
4. Upload a test file.
5. Click 'Submit'.
6. Confirm browser dialog if shown.</t>
  </si>
  <si>
    <t>'Success! Your details have been submitted successfully.' is displayed.</t>
  </si>
  <si>
    <t>UI Test Case 6</t>
  </si>
  <si>
    <t>TC-SUP-002</t>
  </si>
  <si>
    <t>Submit contact request without attachment</t>
  </si>
  <si>
    <t>Verify Contact Us form can be submitted without optional attachment</t>
  </si>
  <si>
    <t>User is on the Contact Us page.</t>
  </si>
  <si>
    <t>1. Enter valid name, email, subject, message.
2. Do not attach a file.
3. Click 'Submit'.
4. Confirm browser dialog if shown.</t>
  </si>
  <si>
    <t>Contact request is submitted successfully and success confirmation is displayed.</t>
  </si>
  <si>
    <t>Derived from AC: attachment is optional</t>
  </si>
  <si>
    <t>TC-SUP-003</t>
  </si>
  <si>
    <t>Validate contact form</t>
  </si>
  <si>
    <t>Verify contact request is not submitted when Email is empty</t>
  </si>
  <si>
    <t>1. Enter name, subject, message.
2. Leave Email empty.
3. Click 'Submit'.</t>
  </si>
  <si>
    <t>TC-SUB-001</t>
  </si>
  <si>
    <t>AEQA-30</t>
  </si>
  <si>
    <t>Email Subscription</t>
  </si>
  <si>
    <t>Subscribe from Home page</t>
  </si>
  <si>
    <t>Verify email subscription works from Home page</t>
  </si>
  <si>
    <t>1. Scroll to footer.
2. Verify 'SUBSCRIPTION'.
3. Enter valid email.
4. Click arrow button.</t>
  </si>
  <si>
    <t>'You have been successfully subscribed!' is displayed.</t>
  </si>
  <si>
    <t>UI Test Case 10</t>
  </si>
  <si>
    <t>TC-SUB-002</t>
  </si>
  <si>
    <t>Subscribe from Cart page</t>
  </si>
  <si>
    <t>Verify email subscription works from Cart page</t>
  </si>
  <si>
    <t>User is on the Cart page.</t>
  </si>
  <si>
    <t>UI Test Case 11</t>
  </si>
  <si>
    <t>TC-SUB-003</t>
  </si>
  <si>
    <t>Validate subscription email</t>
  </si>
  <si>
    <t>Verify subscription does not accept empty email</t>
  </si>
  <si>
    <t>Subscription section is visible.</t>
  </si>
  <si>
    <t>1. Leave subscription email empty.
2. Click arrow button.</t>
  </si>
  <si>
    <t>Subscription should not complete and required-field validation should prevent submission.</t>
  </si>
  <si>
    <t>TC-NAV-001</t>
  </si>
  <si>
    <t>AEQA-31</t>
  </si>
  <si>
    <t>Access Test Cases Page</t>
  </si>
  <si>
    <t>Navigate to Test Cases page</t>
  </si>
  <si>
    <t>Verify Test Cases navigation opens the Test Cases page</t>
  </si>
  <si>
    <t>1. Click 'Test Cases'.</t>
  </si>
  <si>
    <t>User is navigated to the Test Cases page successfully.</t>
  </si>
  <si>
    <t>UI Test Case 7</t>
  </si>
  <si>
    <t>TC-NAV-002</t>
  </si>
  <si>
    <t>AEQA-32</t>
  </si>
  <si>
    <t>Scroll to Top Using Arrow</t>
  </si>
  <si>
    <t>Scroll to bottom using page scroll</t>
  </si>
  <si>
    <t>Verify footer content and scroll-to-top arrow appear near the bottom</t>
  </si>
  <si>
    <t>1. Scroll to the bottom of the page.
2. Verify 'SUBSCRIPTION'.
3. Observe scroll-to-top arrow.</t>
  </si>
  <si>
    <t>Footer area is visible and scroll-to-top arrow is available.</t>
  </si>
  <si>
    <t>No</t>
  </si>
  <si>
    <t>UI Test Case 25</t>
  </si>
  <si>
    <t>TC-NAV-003</t>
  </si>
  <si>
    <t>Return to top using arrow</t>
  </si>
  <si>
    <t>Verify scroll-to-top arrow moves user back to top</t>
  </si>
  <si>
    <t>User is near the bottom of Home page and scroll-to-top arrow is visible.</t>
  </si>
  <si>
    <t>1. Click the scroll-to-top arrow.</t>
  </si>
  <si>
    <t>Page scrolls to the top and 'Full-Fledged practice website for Automation Engineers' is visible.</t>
  </si>
  <si>
    <t>TC-NAV-004</t>
  </si>
  <si>
    <t>AEQA-33</t>
  </si>
  <si>
    <t>Manual Page Scrolling</t>
  </si>
  <si>
    <t>Manual scroll to bottom</t>
  </si>
  <si>
    <t>Verify user can manually scroll to the footer</t>
  </si>
  <si>
    <t>User is at the top of the Home page.</t>
  </si>
  <si>
    <t>1. Manually scroll down to the bottom.</t>
  </si>
  <si>
    <t>Footer area is reachable and 'SUBSCRIPTION' is visible.</t>
  </si>
  <si>
    <t>UI Test Case 26</t>
  </si>
  <si>
    <t>TC-NAV-005</t>
  </si>
  <si>
    <t>Manual scroll back to top</t>
  </si>
  <si>
    <t>Verify user can manually return to the top</t>
  </si>
  <si>
    <t>User is near the bottom of the Home page.</t>
  </si>
  <si>
    <t>1. Manually scroll upward to the top.</t>
  </si>
  <si>
    <t>Top-page content is visible again, including 'Full-Fledged practice website for Automation Engineers'.</t>
  </si>
  <si>
    <t>TC-API-001</t>
  </si>
  <si>
    <t>AEQA-34</t>
  </si>
  <si>
    <t>Product APIs</t>
  </si>
  <si>
    <t>Retrieve product list</t>
  </si>
  <si>
    <t>Verify GET /api/productsList returns all products</t>
  </si>
  <si>
    <t>API is reachable.</t>
  </si>
  <si>
    <t>1. Send GET request to /api/productsList.
2. Inspect response.</t>
  </si>
  <si>
    <t>Method: GET
Endpoint: /api/productsList</t>
  </si>
  <si>
    <t>Response code is 200 and response contains the products list.</t>
  </si>
  <si>
    <t>API / Functional</t>
  </si>
  <si>
    <t>API 1: Get All Products List</t>
  </si>
  <si>
    <t>https://www.automationexercise.com/api_list</t>
  </si>
  <si>
    <t>TC-API-002</t>
  </si>
  <si>
    <t>Unsupported product-list method</t>
  </si>
  <si>
    <t>Verify POST /api/productsList is rejected</t>
  </si>
  <si>
    <t>1. Send POST request to /api/productsList.
2. Inspect response.</t>
  </si>
  <si>
    <t>Method: POST
Endpoint: /api/productsList</t>
  </si>
  <si>
    <t>Response code is 405 and message is 'This request method is not supported.'.</t>
  </si>
  <si>
    <t>API 2: POST To All Products List</t>
  </si>
  <si>
    <t>TC-API-003</t>
  </si>
  <si>
    <t>AEQA-35</t>
  </si>
  <si>
    <t>Brand APIs</t>
  </si>
  <si>
    <t>Retrieve brand list</t>
  </si>
  <si>
    <t>Verify GET /api/brandsList returns all brands</t>
  </si>
  <si>
    <t>1. Send GET request to /api/brandsList.
2. Inspect response.</t>
  </si>
  <si>
    <t>Method: GET
Endpoint: /api/brandsList</t>
  </si>
  <si>
    <t>Response code is 200 and response contains the brands list.</t>
  </si>
  <si>
    <t>API 3: Get All Brands List</t>
  </si>
  <si>
    <t>TC-API-004</t>
  </si>
  <si>
    <t>Unsupported brands method</t>
  </si>
  <si>
    <t>Verify PUT /api/brandsList is rejected</t>
  </si>
  <si>
    <t>1. Send PUT request to /api/brandsList.
2. Inspect response.</t>
  </si>
  <si>
    <t>Method: PUT
Endpoint: /api/brandsList</t>
  </si>
  <si>
    <t>API 4: PUT To All Brands List</t>
  </si>
  <si>
    <t>TC-API-005</t>
  </si>
  <si>
    <t>AEQA-36</t>
  </si>
  <si>
    <t>Product Search API</t>
  </si>
  <si>
    <t>Search products with valid parameter</t>
  </si>
  <si>
    <t>Verify POST /api/searchProduct returns matching products</t>
  </si>
  <si>
    <t>1. Send POST request to /api/searchProduct with search_product.
2. Inspect response.</t>
  </si>
  <si>
    <t>Response code is 200 and response contains searched products.</t>
  </si>
  <si>
    <t>API 5: POST To Search Product</t>
  </si>
  <si>
    <t>TC-API-006</t>
  </si>
  <si>
    <t>Search products without required parameter</t>
  </si>
  <si>
    <t>Verify POST /api/searchProduct without search_product returns 400</t>
  </si>
  <si>
    <t>1. Send POST request to /api/searchProduct without search_product.
2. Inspect response.</t>
  </si>
  <si>
    <t>Method: POST
Endpoint: /api/searchProduct
No search_product parameter</t>
  </si>
  <si>
    <t>Response code is 400 and message states search_product parameter is missing.</t>
  </si>
  <si>
    <t>API 6: POST To Search Product without search_product parameter</t>
  </si>
  <si>
    <t>TC-API-007</t>
  </si>
  <si>
    <t>AEQA-37</t>
  </si>
  <si>
    <t>Login Verification API</t>
  </si>
  <si>
    <t>Verify valid credentials</t>
  </si>
  <si>
    <t>Verify login API returns User exists for valid credentials</t>
  </si>
  <si>
    <t>A registered API test user exists.</t>
  </si>
  <si>
    <t>1. Send POST request to /api/verifyLogin with valid email/password.
2. Inspect response.</t>
  </si>
  <si>
    <t>Response code is 200 and message is 'User exists!'.</t>
  </si>
  <si>
    <t>API 7: POST To Verify Login with valid details</t>
  </si>
  <si>
    <t>TC-API-008</t>
  </si>
  <si>
    <t>Missing required credentials</t>
  </si>
  <si>
    <t>Verify login API returns 400 when email is missing</t>
  </si>
  <si>
    <t>1. Send POST request to /api/verifyLogin with password only.
2. Inspect response.</t>
  </si>
  <si>
    <t>Response code is 400 and message states email or password parameter is missing.</t>
  </si>
  <si>
    <t>API 8: POST To Verify Login without email parameter</t>
  </si>
  <si>
    <t>TC-API-009</t>
  </si>
  <si>
    <t>AC4</t>
  </si>
  <si>
    <t>Unsupported HTTP method</t>
  </si>
  <si>
    <t>Verify DELETE /api/verifyLogin is rejected</t>
  </si>
  <si>
    <t>1. Send DELETE request to /api/verifyLogin.
2. Inspect response.</t>
  </si>
  <si>
    <t>Method: DELETE
Endpoint: /api/verifyLogin</t>
  </si>
  <si>
    <t>API 9: DELETE To Verify Login</t>
  </si>
  <si>
    <t>TC-API-010</t>
  </si>
  <si>
    <t>Verify invalid credentials</t>
  </si>
  <si>
    <t>Verify login API returns user-not-found for invalid credentials</t>
  </si>
  <si>
    <t>1. Send POST request to /api/verifyLogin with invalid email/password.
2. Inspect response.</t>
  </si>
  <si>
    <t>Response code is 404 and message is 'User not found!'.</t>
  </si>
  <si>
    <t>API 10: POST To Verify Login with invalid details</t>
  </si>
  <si>
    <t>TC-API-011</t>
  </si>
  <si>
    <t>AEQA-38</t>
  </si>
  <si>
    <t>User Account APIs</t>
  </si>
  <si>
    <t>Create account</t>
  </si>
  <si>
    <t>Verify POST /api/createAccount creates a new user</t>
  </si>
  <si>
    <t>Email has not been registered before.</t>
  </si>
  <si>
    <t>1. Send POST request to /api/createAccount with all required account fields.
2. Inspect response.</t>
  </si>
  <si>
    <t>Response code is 201 and message is 'User created!'.</t>
  </si>
  <si>
    <t>API 11: POST To Create/Register User Account</t>
  </si>
  <si>
    <t>TC-API-012</t>
  </si>
  <si>
    <t>Retrieve account</t>
  </si>
  <si>
    <t>Verify GET /api/getUserDetailByEmail returns user detail</t>
  </si>
  <si>
    <t>API test account exists.</t>
  </si>
  <si>
    <t>1. Send GET request to /api/getUserDetailByEmail with registered email.
2. Inspect response.</t>
  </si>
  <si>
    <t>Response code is 200 and response contains the expected user detail.</t>
  </si>
  <si>
    <t>API 14: GET user account detail by email</t>
  </si>
  <si>
    <t>TC-API-013</t>
  </si>
  <si>
    <t>Update account</t>
  </si>
  <si>
    <t>Verify PUT /api/updateAccount updates an existing user</t>
  </si>
  <si>
    <t>1. Send PUT request to /api/updateAccount with required fields and changed data.
2. Inspect response.</t>
  </si>
  <si>
    <t>Response code is 200 and message is 'User updated!'.</t>
  </si>
  <si>
    <t>API 13: PUT METHOD To Update User Account</t>
  </si>
  <si>
    <t>TC-API-014</t>
  </si>
  <si>
    <t>Delete account</t>
  </si>
  <si>
    <t>Verify DELETE /api/deleteAccount deletes an existing user</t>
  </si>
  <si>
    <t>1. Send DELETE request to /api/deleteAccount with email/password.
2. Inspect response.</t>
  </si>
  <si>
    <t>Response code is 200 and message is 'Account deleted!'.</t>
  </si>
  <si>
    <t>API 12: DELETE METHOD To Delete User Account</t>
  </si>
  <si>
    <t>Key</t>
  </si>
  <si>
    <t>Issue Type</t>
  </si>
  <si>
    <t>Summary</t>
  </si>
  <si>
    <t>Review Status</t>
  </si>
  <si>
    <t>Notes</t>
  </si>
  <si>
    <t>OK</t>
  </si>
  <si>
    <t>Automation scope rule:
Yes = automate.
Later = automate after the main automation scope.
No = do not automate.
Priority: P1 → first, P2 → second, P3 → last</t>
  </si>
  <si>
    <t>If Status = Fail, review the related AC/source first. For AC Ref = Derived, confirm expected behavior before logging a Jira Bug.</t>
  </si>
  <si>
    <t>After manual execution, automate P1 first, then P2, then P3. Rows marked No remain manual-only.</t>
  </si>
  <si>
    <t>Use TD-REGISTER. Use a fresh TD-REGISTER Email (test001/test002/test003...).</t>
  </si>
  <si>
    <t>Use TD-EXISTING.</t>
  </si>
  <si>
    <t>Use TD-REGISTER, but leave Name blank. Use a fresh Email.</t>
  </si>
  <si>
    <t>Use TD-REGISTER Name; leave Email blank.</t>
  </si>
  <si>
    <t>Use TD-REGISTER Name + TD-NEGATIVE Invalid Email Format.</t>
  </si>
  <si>
    <t>Use TD-NEGATIVE Unregistered Email + TD-EXISTING Password.</t>
  </si>
  <si>
    <t>Use TD-EXISTING Email + TD-NEGATIVE Wrong Password.</t>
  </si>
  <si>
    <t>Leave Email blank + use TD-EXISTING Password.</t>
  </si>
  <si>
    <t>Use TD-EXISTING Email + leave Password blank.</t>
  </si>
  <si>
    <t>Use TD-REGISTER with the next fresh email. Keep these credentials for TC-AUTH-013.</t>
  </si>
  <si>
    <t>Use the disposable credentials created and deleted in TC-AUTH-012.</t>
  </si>
  <si>
    <t>Use TD-SEARCH Keyword 1.</t>
  </si>
  <si>
    <t>Use TD-SEARCH Keyword 2.</t>
  </si>
  <si>
    <t>Use TD-REVIEW.</t>
  </si>
  <si>
    <t>Use TD-REVIEW, but leave Email blank.</t>
  </si>
  <si>
    <t>Use TD-EXISTING + TD-SEARCH Keyword 1.</t>
  </si>
  <si>
    <t>Use TD-REGISTER with a fresh email + any available product.</t>
  </si>
  <si>
    <t>Use the TD-REGISTER address values used to create the account for this checkout flow.</t>
  </si>
  <si>
    <t>Use TD-ORDER Comment + TD-PAYMENT.</t>
  </si>
  <si>
    <t>Use TD-PAYMENT, but leave Card Number blank.</t>
  </si>
  <si>
    <t>Use TD-CONTACT + TD-FILE.</t>
  </si>
  <si>
    <t>Use TD-CONTACT.</t>
  </si>
  <si>
    <t>Use TD-CONTACT, but leave Email blank.</t>
  </si>
  <si>
    <t>Use TD-SUBSCRIPTION Home Email.</t>
  </si>
  <si>
    <t>Use TD-SUBSCRIPTION Cart Email.</t>
  </si>
  <si>
    <t>Leave subscription Email blank.</t>
  </si>
  <si>
    <t>Method: POST
Endpoint: /api/searchProduct
Use TD-SEARCH Keyword 1 as search_product.</t>
  </si>
  <si>
    <t>Method: POST
Endpoint: /api/verifyLogin
Use TD-EXISTING credentials.</t>
  </si>
  <si>
    <t>Method: POST
Endpoint: /api/verifyLogin
Email: omitted
Use TD-EXISTING Password.</t>
  </si>
  <si>
    <t>Method: POST
Endpoint: /api/verifyLogin
Use TD-NEGATIVE Unregistered Email + TD-NEGATIVE Wrong Password.</t>
  </si>
  <si>
    <t>Method: POST
Endpoint: /api/createAccount
Use TD-API with a fresh email + TD-REGISTER profile/address values.</t>
  </si>
  <si>
    <t>Method: GET
Endpoint: /api/getUserDetailByEmail
Use the email created by TC-API-011.</t>
  </si>
  <si>
    <t>Method: PUT
Endpoint: /api/updateAccount
Use the account from TC-API-011 + TD-API Updated Company + TD-REGISTER profile/address values.</t>
  </si>
  <si>
    <t>Method: DELETE
Endpoint: /api/deleteAccount
Use credentials from TC-API-011.</t>
  </si>
  <si>
    <t>Reusable Test Data - Final Version</t>
  </si>
  <si>
    <t>Use these values for manual testing. For a new account, change only the numeric suffix when an email is already used.</t>
  </si>
  <si>
    <t>Data Set</t>
  </si>
  <si>
    <t>Field</t>
  </si>
  <si>
    <t>Simple Note</t>
  </si>
  <si>
    <t>TD-REGISTER</t>
  </si>
  <si>
    <t>Name</t>
  </si>
  <si>
    <t>Automation Tester</t>
  </si>
  <si>
    <t>Use for UI registration.</t>
  </si>
  <si>
    <t>Email</t>
  </si>
  <si>
    <t>qa.aeqa.test001@example.com</t>
  </si>
  <si>
    <t>Next new account: test002, test003, etc.</t>
  </si>
  <si>
    <t>Password</t>
  </si>
  <si>
    <t>Test@123</t>
  </si>
  <si>
    <t>Reusable UI test password.</t>
  </si>
  <si>
    <t>Title</t>
  </si>
  <si>
    <t>Mr</t>
  </si>
  <si>
    <t>Select a valid title.</t>
  </si>
  <si>
    <t>Birth Date</t>
  </si>
  <si>
    <t>Birth Month</t>
  </si>
  <si>
    <t>January</t>
  </si>
  <si>
    <t>Birth Year</t>
  </si>
  <si>
    <t>2000</t>
  </si>
  <si>
    <t>First Name</t>
  </si>
  <si>
    <t>Automation</t>
  </si>
  <si>
    <t>Last Name</t>
  </si>
  <si>
    <t>Tester</t>
  </si>
  <si>
    <t>Company</t>
  </si>
  <si>
    <t>QA Portfolio</t>
  </si>
  <si>
    <t>Address</t>
  </si>
  <si>
    <t>123 Test Street</t>
  </si>
  <si>
    <t>Fake test address.</t>
  </si>
  <si>
    <t>Address2</t>
  </si>
  <si>
    <t>Suite 1</t>
  </si>
  <si>
    <t>Optional UI field; useful for API profile data.</t>
  </si>
  <si>
    <t>Country</t>
  </si>
  <si>
    <t>Canada</t>
  </si>
  <si>
    <t>Choose Canada in the dropdown.</t>
  </si>
  <si>
    <t>State</t>
  </si>
  <si>
    <t>Test State</t>
  </si>
  <si>
    <t>City</t>
  </si>
  <si>
    <t>Test City</t>
  </si>
  <si>
    <t>Zipcode</t>
  </si>
  <si>
    <t>700000</t>
  </si>
  <si>
    <t>Mobile</t>
  </si>
  <si>
    <t>0900000000</t>
  </si>
  <si>
    <t>Fake test phone number.</t>
  </si>
  <si>
    <t>TD-EXISTING</t>
  </si>
  <si>
    <t>After registration succeeds, keep the actual registered email here.</t>
  </si>
  <si>
    <t>Password of the existing UI account.</t>
  </si>
  <si>
    <t>TD-PAYMENT</t>
  </si>
  <si>
    <t>Name on Card</t>
  </si>
  <si>
    <t>Test data only.</t>
  </si>
  <si>
    <t>Card Number</t>
  </si>
  <si>
    <t>4111111111111111</t>
  </si>
  <si>
    <t>Test data only; stored as text.</t>
  </si>
  <si>
    <t>CVC</t>
  </si>
  <si>
    <t>123</t>
  </si>
  <si>
    <t>Expiration Month</t>
  </si>
  <si>
    <t>12</t>
  </si>
  <si>
    <t>Expiration Year</t>
  </si>
  <si>
    <t>2030</t>
  </si>
  <si>
    <t>TD-ORDER</t>
  </si>
  <si>
    <t>Comment</t>
  </si>
  <si>
    <t>Portfolio checkout test</t>
  </si>
  <si>
    <t>Use for checkout comment.</t>
  </si>
  <si>
    <t>TD-CONTACT</t>
  </si>
  <si>
    <t>Use for Contact Us.</t>
  </si>
  <si>
    <t>qa.contact@example.com</t>
  </si>
  <si>
    <t>Subject</t>
  </si>
  <si>
    <t>QA Portfolio Test</t>
  </si>
  <si>
    <t>Message</t>
  </si>
  <si>
    <t>Manual test execution for QA portfolio.</t>
  </si>
  <si>
    <t>TD-SEARCH</t>
  </si>
  <si>
    <t>Keyword 1</t>
  </si>
  <si>
    <t>top</t>
  </si>
  <si>
    <t>Official API example and UI search keyword.</t>
  </si>
  <si>
    <t>Keyword 2</t>
  </si>
  <si>
    <t>jean</t>
  </si>
  <si>
    <t>TD-REVIEW</t>
  </si>
  <si>
    <t>Use for product review.</t>
  </si>
  <si>
    <t>qa.review@example.com</t>
  </si>
  <si>
    <t>Review</t>
  </si>
  <si>
    <t>Great practice product.</t>
  </si>
  <si>
    <t>TD-SUBSCRIPTION</t>
  </si>
  <si>
    <t>Home Email</t>
  </si>
  <si>
    <t>qa.subscription@example.com</t>
  </si>
  <si>
    <t>Use for Home page subscription.</t>
  </si>
  <si>
    <t>Cart Email</t>
  </si>
  <si>
    <t>qa.subscription2@example.com</t>
  </si>
  <si>
    <t>Use for Cart page subscription.</t>
  </si>
  <si>
    <t>TD-NEGATIVE</t>
  </si>
  <si>
    <t>Invalid Email Format</t>
  </si>
  <si>
    <t>testemail</t>
  </si>
  <si>
    <t>Use for format validation.</t>
  </si>
  <si>
    <t>Unregistered Email</t>
  </si>
  <si>
    <t>notregistered@example.com</t>
  </si>
  <si>
    <t>Use for invalid-login scenarios.</t>
  </si>
  <si>
    <t>Wrong Password</t>
  </si>
  <si>
    <t>Wrong@123</t>
  </si>
  <si>
    <t>Use with a valid or unregistered email when required.</t>
  </si>
  <si>
    <t>TD-API</t>
  </si>
  <si>
    <t>API Tester</t>
  </si>
  <si>
    <t>Use for API account lifecycle.</t>
  </si>
  <si>
    <t>qa.api.test001@example.com</t>
  </si>
  <si>
    <t>For next new API account: test002, test003, etc.</t>
  </si>
  <si>
    <t>Test@123456</t>
  </si>
  <si>
    <t>Updated Company</t>
  </si>
  <si>
    <t>QA Portfolio Updated</t>
  </si>
  <si>
    <t>Use in update-account test.</t>
  </si>
  <si>
    <t>Profile Fields</t>
  </si>
  <si>
    <t>Use TD-REGISTER profile/address values</t>
  </si>
  <si>
    <t>Map Address→address1 and Mobile→mobile_number for API requests.</t>
  </si>
  <si>
    <t>TD-FILE</t>
  </si>
  <si>
    <t>File Name</t>
  </si>
  <si>
    <t>sample.txt</t>
  </si>
  <si>
    <t>Create any small text file for Contact Us upload.</t>
  </si>
  <si>
    <t>4 Simple Rules</t>
  </si>
  <si>
    <t>New UI account</t>
  </si>
  <si>
    <t>Start with test001. If it already exists, use test002, test003, etc.</t>
  </si>
  <si>
    <t>Existing UI account</t>
  </si>
  <si>
    <t>After UI registration succeeds, keep that email in TD-EXISTING.</t>
  </si>
  <si>
    <t>New API account</t>
  </si>
  <si>
    <t>Use a fresh TD-API email for create → get → update → delete lifecycle.</t>
  </si>
  <si>
    <t>Real data</t>
  </si>
  <si>
    <t>Do not use your real email, phone number, address, or bank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</si>
</sst>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rgb="FF000000"/>
      <name val="Carlito"/>
    </font>
    <font>
      <b/>
      <sz val="16"/>
      <color rgb="FFFFFFFF"/>
      <name val="Carlito"/>
    </font>
    <font>
      <sz val="11"/>
      <color theme="1"/>
      <name val="Carlito"/>
    </font>
    <font>
      <b/>
      <sz val="11"/>
      <color rgb="FFFFFFFF"/>
      <name val="Carlito"/>
    </font>
    <font>
      <b/>
      <sz val="11"/>
      <color rgb="FF1F1F1F"/>
      <name val="Carlito"/>
    </font>
    <font>
      <sz val="11"/>
      <color rgb="FF333333"/>
      <name val="Carlito"/>
    </font>
    <font>
      <sz val="11"/>
      <color theme="1"/>
      <name val="Carlito"/>
    </font>
    <font>
      <b/>
      <sz val="14"/>
      <color rgb="FFFFFFFF"/>
      <name val="Carlito"/>
    </font>
    <font>
      <i/>
      <sz val="11"/>
      <color rgb="FF1F1F1F"/>
      <name val="Carlito"/>
    </font>
  </fonts>
  <fills count="9">
    <fill>
      <patternFill patternType="none"/>
    </fill>
    <fill>
      <patternFill patternType="gray125"/>
    </fill>
    <fill>
      <patternFill patternType="solid">
        <fgColor rgb="FF1F4E78"/>
      </patternFill>
    </fill>
    <fill>
      <patternFill patternType="solid">
        <fgColor rgb="FF2F75B5"/>
      </patternFill>
    </fill>
    <fill>
      <patternFill patternType="solid">
        <fgColor rgb="FFD9EAF7"/>
      </patternFill>
    </fill>
    <fill>
      <patternFill patternType="solid">
        <fgColor rgb="FFF3F6F9"/>
      </patternFill>
    </fill>
    <fill>
      <patternFill patternType="solid">
        <fgColor rgb="FFFFFFFF"/>
      </patternFill>
    </fill>
    <fill>
      <patternFill patternType="solid">
        <fgColor rgb="FF2E75B6"/>
      </patternFill>
    </fill>
    <fill>
      <patternFill patternType="solid">
        <fgColor rgb="FFEAF3F8"/>
      </patternFill>
    </fill>
  </fills>
  <borders count="7">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style="thin">
        <color rgb="FF44B3E1"/>
      </left>
      <right/>
      <top/>
      <bottom/>
      <diagonal/>
    </border>
    <border>
      <left style="thin">
        <color rgb="FF44B3E1"/>
      </left>
      <right/>
      <top/>
      <bottom style="thin">
        <color rgb="FF5B9BD5"/>
      </bottom>
      <diagonal/>
    </border>
    <border>
      <left/>
      <right/>
      <top/>
      <bottom style="thin">
        <color rgb="FF5B9BD5"/>
      </bottom>
      <diagonal/>
    </border>
  </borders>
  <cellStyleXfs count="1">
    <xf numFmtId="0" fontId="0" fillId="0" borderId="0"/>
  </cellStyleXfs>
  <cellXfs count="43">
    <xf numFmtId="0" fontId="0" fillId="0" borderId="0" xfId="0" applyFont="1" applyAlignment="1"/>
    <xf numFmtId="0" fontId="2" fillId="0" borderId="0" xfId="0" applyFont="1" applyAlignment="1">
      <alignment vertical="top" wrapText="1"/>
    </xf>
    <xf numFmtId="0" fontId="3" fillId="3" borderId="0" xfId="0" applyFont="1" applyFill="1" applyAlignment="1">
      <alignment horizontal="center" vertical="center" wrapText="1"/>
    </xf>
    <xf numFmtId="0" fontId="4" fillId="4" borderId="0" xfId="0" applyFont="1" applyFill="1" applyAlignment="1">
      <alignment horizontal="left" vertical="top" wrapText="1"/>
    </xf>
    <xf numFmtId="0" fontId="3" fillId="3" borderId="0" xfId="0" applyFont="1" applyFill="1" applyAlignment="1">
      <alignment horizontal="center" vertical="top" wrapText="1"/>
    </xf>
    <xf numFmtId="0" fontId="2" fillId="6" borderId="0" xfId="0" applyFont="1" applyFill="1" applyAlignment="1">
      <alignment vertical="top" wrapText="1"/>
    </xf>
    <xf numFmtId="0" fontId="2" fillId="6" borderId="0" xfId="0" applyFont="1" applyFill="1" applyAlignment="1">
      <alignment vertical="top" wrapText="1"/>
    </xf>
    <xf numFmtId="0" fontId="6" fillId="6" borderId="0" xfId="0" applyFont="1" applyFill="1"/>
    <xf numFmtId="0" fontId="3" fillId="3" borderId="0" xfId="0" applyFont="1" applyFill="1" applyAlignment="1">
      <alignment horizontal="center" vertical="top" wrapText="1"/>
    </xf>
    <xf numFmtId="0" fontId="2" fillId="0" borderId="0" xfId="0" applyFont="1" applyAlignment="1">
      <alignment vertical="top" wrapText="1"/>
    </xf>
    <xf numFmtId="0" fontId="3" fillId="3" borderId="0" xfId="0" applyFont="1" applyFill="1" applyAlignment="1">
      <alignment horizontal="center" vertical="center" wrapText="1"/>
    </xf>
    <xf numFmtId="0" fontId="2" fillId="0" borderId="0" xfId="0" applyFont="1" applyAlignment="1">
      <alignment vertical="top" wrapText="1"/>
    </xf>
    <xf numFmtId="0" fontId="0" fillId="0" borderId="0" xfId="0" applyNumberFormat="1" applyFont="1" applyFill="1" applyBorder="1" applyAlignment="1">
      <alignment vertical="center" wrapText="1"/>
    </xf>
    <xf numFmtId="0" fontId="4" fillId="4" borderId="0" xfId="0" applyNumberFormat="1" applyFont="1" applyFill="1" applyBorder="1" applyAlignment="1">
      <alignment vertical="center" wrapText="1"/>
    </xf>
    <xf numFmtId="0" fontId="3" fillId="7" borderId="1" xfId="0" applyNumberFormat="1" applyFont="1" applyFill="1" applyBorder="1" applyAlignment="1">
      <alignment horizontal="center" vertical="center" wrapText="1"/>
    </xf>
    <xf numFmtId="0" fontId="3" fillId="7" borderId="2" xfId="0" applyNumberFormat="1" applyFont="1" applyFill="1" applyBorder="1" applyAlignment="1">
      <alignment horizontal="center" vertical="center" wrapText="1"/>
    </xf>
    <xf numFmtId="0" fontId="3" fillId="7" borderId="3" xfId="0" applyNumberFormat="1" applyFont="1" applyFill="1" applyBorder="1" applyAlignment="1">
      <alignment horizontal="center" vertical="center" wrapText="1"/>
    </xf>
    <xf numFmtId="0" fontId="4" fillId="8" borderId="1" xfId="0" applyNumberFormat="1" applyFont="1" applyFill="1" applyBorder="1" applyAlignment="1">
      <alignment vertical="center" wrapText="1"/>
    </xf>
    <xf numFmtId="0" fontId="0" fillId="8" borderId="2" xfId="0" applyNumberFormat="1" applyFont="1" applyFill="1" applyBorder="1" applyAlignment="1">
      <alignment vertical="center" wrapText="1"/>
    </xf>
    <xf numFmtId="0" fontId="0" fillId="8" borderId="3" xfId="0" applyNumberFormat="1" applyFont="1" applyFill="1" applyBorder="1" applyAlignment="1">
      <alignment vertical="center" wrapText="1"/>
    </xf>
    <xf numFmtId="0" fontId="2" fillId="8" borderId="4" xfId="0" applyNumberFormat="1" applyFont="1" applyFill="1" applyBorder="1" applyAlignment="1">
      <alignment vertical="center" wrapText="1"/>
    </xf>
    <xf numFmtId="0" fontId="2" fillId="8" borderId="0" xfId="0" applyNumberFormat="1" applyFont="1" applyFill="1" applyAlignment="1">
      <alignment vertical="center" wrapText="1"/>
    </xf>
    <xf numFmtId="0" fontId="0" fillId="8" borderId="0" xfId="0" applyNumberFormat="1" applyFont="1" applyFill="1" applyAlignment="1">
      <alignment vertical="center" wrapText="1"/>
    </xf>
    <xf numFmtId="0" fontId="0" fillId="8" borderId="4" xfId="0" applyNumberFormat="1" applyFont="1" applyFill="1" applyBorder="1" applyAlignment="1">
      <alignment vertical="center" wrapText="1"/>
    </xf>
    <xf numFmtId="0" fontId="0" fillId="8" borderId="5" xfId="0" applyNumberFormat="1" applyFont="1" applyFill="1" applyBorder="1" applyAlignment="1">
      <alignment vertical="center" wrapText="1"/>
    </xf>
    <xf numFmtId="0" fontId="0" fillId="8" borderId="6" xfId="0" applyNumberFormat="1" applyFont="1" applyFill="1" applyBorder="1" applyAlignment="1">
      <alignment vertical="center" wrapText="1"/>
    </xf>
    <xf numFmtId="49" fontId="0" fillId="8" borderId="2" xfId="0" applyNumberFormat="1" applyFont="1" applyFill="1" applyBorder="1" applyAlignment="1">
      <alignment vertical="center" wrapText="1"/>
    </xf>
    <xf numFmtId="49" fontId="2" fillId="8" borderId="0" xfId="0" applyNumberFormat="1" applyFont="1" applyFill="1" applyAlignment="1">
      <alignment vertical="center" wrapText="1"/>
    </xf>
    <xf numFmtId="49" fontId="0" fillId="8" borderId="0" xfId="0" applyNumberFormat="1" applyFont="1" applyFill="1" applyAlignment="1">
      <alignment vertical="center" wrapText="1"/>
    </xf>
    <xf numFmtId="49" fontId="0" fillId="8" borderId="6" xfId="0" applyNumberFormat="1" applyFont="1" applyFill="1" applyBorder="1" applyAlignment="1">
      <alignment vertical="center" wrapText="1"/>
    </xf>
    <xf numFmtId="0" fontId="1" fillId="2" borderId="0" xfId="0" applyFont="1" applyFill="1" applyAlignment="1">
      <alignment horizontal="left" vertical="top" wrapText="1"/>
    </xf>
    <xf numFmtId="0" fontId="0" fillId="0" borderId="0" xfId="0" applyFont="1" applyAlignment="1"/>
    <xf numFmtId="0" fontId="4" fillId="4" borderId="0" xfId="0" applyFont="1" applyFill="1" applyAlignment="1">
      <alignment horizontal="left" vertical="top" wrapText="1"/>
    </xf>
    <xf numFmtId="0" fontId="4" fillId="6" borderId="0" xfId="0" applyFont="1" applyFill="1" applyAlignment="1">
      <alignment horizontal="left" vertical="top" wrapText="1"/>
    </xf>
    <xf numFmtId="0" fontId="5" fillId="5" borderId="0" xfId="0" applyFont="1" applyFill="1" applyAlignment="1">
      <alignment vertical="top" wrapText="1"/>
    </xf>
    <xf numFmtId="0" fontId="2" fillId="0" borderId="0" xfId="0" applyNumberFormat="1" applyFont="1" applyFill="1" applyBorder="1" applyAlignment="1">
      <alignment vertical="top" wrapText="1"/>
    </xf>
    <xf numFmtId="0" fontId="4" fillId="6" borderId="0" xfId="0" applyFont="1" applyFill="1" applyAlignment="1">
      <alignment horizontal="left" vertical="center" wrapText="1"/>
    </xf>
    <xf numFmtId="0" fontId="7" fillId="2" borderId="0" xfId="0" applyNumberFormat="1" applyFont="1" applyFill="1" applyBorder="1" applyAlignment="1">
      <alignment horizontal="left" vertical="center" wrapText="1"/>
    </xf>
    <xf numFmtId="0" fontId="7" fillId="2" borderId="0" xfId="0" applyNumberFormat="1" applyFont="1" applyFill="1" applyBorder="1" applyAlignment="1">
      <alignment vertical="center" wrapText="1"/>
    </xf>
    <xf numFmtId="0" fontId="8" fillId="4" borderId="0" xfId="0" applyNumberFormat="1" applyFont="1" applyFill="1" applyBorder="1" applyAlignment="1">
      <alignment vertical="center" wrapText="1"/>
    </xf>
    <xf numFmtId="0" fontId="4" fillId="8" borderId="4" xfId="0" applyNumberFormat="1" applyFont="1" applyFill="1" applyBorder="1" applyAlignment="1">
      <alignment vertical="center" wrapText="1"/>
    </xf>
    <xf numFmtId="0" fontId="0" fillId="8" borderId="0" xfId="0" applyNumberFormat="1" applyFont="1" applyFill="1" applyAlignment="1">
      <alignment vertical="center" wrapText="1"/>
    </xf>
    <xf numFmtId="49" fontId="0" fillId="8" borderId="0" xfId="0" applyNumberFormat="1" applyFont="1" applyFill="1" applyAlignment="1">
      <alignment vertical="center" wrapText="1"/>
    </xf>
  </cellXfs>
  <cellStyles count="1">
    <cellStyle name="Normal" xfId="0" builtinId="0"/>
  </cellStyles>
  <dxfs count="50">
    <dxf>
      <font>
        <b/>
        <color rgb="FF7F6000"/>
      </font>
      <fill>
        <patternFill>
          <bgColor rgb="FFFFF2CC"/>
        </patternFill>
      </fill>
    </dxf>
    <dxf>
      <font>
        <b/>
        <color rgb="FF9C0006"/>
      </font>
      <fill>
        <patternFill>
          <bgColor rgb="FFF4CCCC"/>
        </patternFill>
      </fill>
    </dxf>
    <dxf>
      <font>
        <color rgb="FF666666"/>
      </font>
      <fill>
        <patternFill>
          <bgColor rgb="FFE7E6E6"/>
        </patternFill>
      </fill>
    </dxf>
    <dxf>
      <font>
        <color rgb="FF7F6000"/>
      </font>
      <fill>
        <patternFill>
          <bgColor rgb="FFFFF2CC"/>
        </patternFill>
      </fill>
    </dxf>
    <dxf>
      <font>
        <b/>
        <color rgb="FF375623"/>
      </font>
      <fill>
        <patternFill>
          <bgColor rgb="FFE2F0D9"/>
        </patternFill>
      </fill>
    </dxf>
    <dxf>
      <font>
        <b/>
        <color rgb="FF7F6000"/>
      </font>
      <fill>
        <patternFill>
          <bgColor rgb="FFFFF2CC"/>
        </patternFill>
      </fill>
    </dxf>
    <dxf>
      <font>
        <b/>
        <color rgb="FFC00000"/>
      </font>
      <fill>
        <patternFill>
          <bgColor rgb="FFFCE4D6"/>
        </patternFill>
      </fill>
    </dxf>
    <dxf>
      <font>
        <b/>
        <color rgb="FF375623"/>
      </font>
      <fill>
        <patternFill>
          <bgColor rgb="FFE2F0D9"/>
        </patternFill>
      </fill>
    </dxf>
    <dxf>
      <font>
        <b/>
        <color rgb="FF9C0006"/>
      </font>
      <fill>
        <patternFill>
          <bgColor rgb="FFF4CCCC"/>
        </patternFill>
      </fill>
    </dxf>
    <dxf>
      <font>
        <color rgb="FF666666"/>
      </font>
      <fill>
        <patternFill>
          <bgColor rgb="FFE7E6E6"/>
        </patternFill>
      </fill>
    </dxf>
    <dxf>
      <font>
        <color rgb="FF7F6000"/>
      </font>
      <fill>
        <patternFill>
          <bgColor rgb="FFFFF2CC"/>
        </patternFill>
      </fill>
    </dxf>
    <dxf>
      <font>
        <b/>
        <color rgb="FF375623"/>
      </font>
      <fill>
        <patternFill>
          <bgColor rgb="FFE2F0D9"/>
        </patternFill>
      </fill>
    </dxf>
    <dxf>
      <font>
        <b/>
        <color rgb="FF7F6000"/>
      </font>
      <fill>
        <patternFill>
          <bgColor rgb="FFFFF2CC"/>
        </patternFill>
      </fill>
    </dxf>
    <dxf>
      <font>
        <b/>
        <color rgb="FFC00000"/>
      </font>
      <fill>
        <patternFill>
          <bgColor rgb="FFFCE4D6"/>
        </patternFill>
      </fill>
    </dxf>
    <dxf>
      <font>
        <b/>
        <color rgb="FF375623"/>
      </font>
      <fill>
        <patternFill>
          <bgColor rgb="FFE2F0D9"/>
        </patternFill>
      </fill>
    </dxf>
    <dxf>
      <font>
        <b/>
        <color rgb="FF9C0006"/>
      </font>
      <fill>
        <patternFill>
          <bgColor rgb="FFF4CCCC"/>
        </patternFill>
      </fill>
    </dxf>
    <dxf>
      <font>
        <color rgb="FF666666"/>
      </font>
      <fill>
        <patternFill>
          <bgColor rgb="FFE7E6E6"/>
        </patternFill>
      </fill>
    </dxf>
    <dxf>
      <font>
        <color rgb="FF7F6000"/>
      </font>
      <fill>
        <patternFill>
          <bgColor rgb="FFFFF2CC"/>
        </patternFill>
      </fill>
    </dxf>
    <dxf>
      <font>
        <b/>
        <color rgb="FF375623"/>
      </font>
      <fill>
        <patternFill>
          <bgColor rgb="FFE2F0D9"/>
        </patternFill>
      </fill>
    </dxf>
    <dxf>
      <font>
        <b/>
        <color rgb="FF7F6000"/>
      </font>
      <fill>
        <patternFill>
          <bgColor rgb="FFFFF2CC"/>
        </patternFill>
      </fill>
    </dxf>
    <dxf>
      <font>
        <b/>
        <color rgb="FFC00000"/>
      </font>
      <fill>
        <patternFill>
          <bgColor rgb="FFFCE4D6"/>
        </patternFill>
      </fill>
    </dxf>
    <dxf>
      <font>
        <b/>
        <color rgb="FF375623"/>
      </font>
      <fill>
        <patternFill>
          <bgColor rgb="FFE2F0D9"/>
        </patternFill>
      </fill>
    </dxf>
    <dxf>
      <font>
        <b/>
        <color rgb="FF9C0006"/>
      </font>
      <fill>
        <patternFill>
          <bgColor rgb="FFF4CCCC"/>
        </patternFill>
      </fill>
    </dxf>
    <dxf>
      <font>
        <color rgb="FF666666"/>
      </font>
      <fill>
        <patternFill>
          <bgColor rgb="FFE7E6E6"/>
        </patternFill>
      </fill>
    </dxf>
    <dxf>
      <font>
        <color rgb="FF7F6000"/>
      </font>
      <fill>
        <patternFill>
          <bgColor rgb="FFFFF2CC"/>
        </patternFill>
      </fill>
    </dxf>
    <dxf>
      <font>
        <b/>
        <color rgb="FF375623"/>
      </font>
      <fill>
        <patternFill>
          <bgColor rgb="FFE2F0D9"/>
        </patternFill>
      </fill>
    </dxf>
    <dxf>
      <font>
        <b/>
        <color rgb="FF7F6000"/>
      </font>
      <fill>
        <patternFill>
          <bgColor rgb="FFFFF2CC"/>
        </patternFill>
      </fill>
    </dxf>
    <dxf>
      <font>
        <b/>
        <color rgb="FFC00000"/>
      </font>
      <fill>
        <patternFill>
          <bgColor rgb="FFFCE4D6"/>
        </patternFill>
      </fill>
    </dxf>
    <dxf>
      <font>
        <b/>
        <color rgb="FF375623"/>
      </font>
      <fill>
        <patternFill>
          <bgColor rgb="FFE2F0D9"/>
        </patternFill>
      </fill>
    </dxf>
    <dxf>
      <font>
        <b/>
        <color rgb="FF9C0006"/>
      </font>
      <fill>
        <patternFill>
          <bgColor rgb="FFF4CCCC"/>
        </patternFill>
      </fill>
    </dxf>
    <dxf>
      <font>
        <color rgb="FF666666"/>
      </font>
      <fill>
        <patternFill>
          <bgColor rgb="FFE7E6E6"/>
        </patternFill>
      </fill>
    </dxf>
    <dxf>
      <font>
        <color rgb="FF7F6000"/>
      </font>
      <fill>
        <patternFill>
          <bgColor rgb="FFFFF2CC"/>
        </patternFill>
      </fill>
    </dxf>
    <dxf>
      <font>
        <b/>
        <color rgb="FF375623"/>
      </font>
      <fill>
        <patternFill>
          <bgColor rgb="FFE2F0D9"/>
        </patternFill>
      </fill>
    </dxf>
    <dxf>
      <font>
        <b/>
        <color rgb="FF7F6000"/>
      </font>
      <fill>
        <patternFill>
          <bgColor rgb="FFFFF2CC"/>
        </patternFill>
      </fill>
    </dxf>
    <dxf>
      <font>
        <b/>
        <color rgb="FFC00000"/>
      </font>
      <fill>
        <patternFill>
          <bgColor rgb="FFFCE4D6"/>
        </patternFill>
      </fill>
    </dxf>
    <dxf>
      <font>
        <b/>
        <color rgb="FF375623"/>
      </font>
      <fill>
        <patternFill>
          <bgColor rgb="FFE2F0D9"/>
        </patternFill>
      </fill>
    </dxf>
    <dxf>
      <font>
        <b/>
        <color rgb="FF9C0006"/>
      </font>
      <fill>
        <patternFill>
          <bgColor rgb="FFF4CCCC"/>
        </patternFill>
      </fill>
    </dxf>
    <dxf>
      <font>
        <color rgb="FF666666"/>
      </font>
      <fill>
        <patternFill>
          <bgColor rgb="FFE7E6E6"/>
        </patternFill>
      </fill>
    </dxf>
    <dxf>
      <font>
        <color rgb="FF7F6000"/>
      </font>
      <fill>
        <patternFill>
          <bgColor rgb="FFFFF2CC"/>
        </patternFill>
      </fill>
    </dxf>
    <dxf>
      <font>
        <b/>
        <color rgb="FF375623"/>
      </font>
      <fill>
        <patternFill>
          <bgColor rgb="FFE2F0D9"/>
        </patternFill>
      </fill>
    </dxf>
    <dxf>
      <font>
        <b/>
        <color rgb="FF7F6000"/>
      </font>
      <fill>
        <patternFill>
          <bgColor rgb="FFFFF2CC"/>
        </patternFill>
      </fill>
    </dxf>
    <dxf>
      <font>
        <b/>
        <color rgb="FFC00000"/>
      </font>
      <fill>
        <patternFill>
          <bgColor rgb="FFFCE4D6"/>
        </patternFill>
      </fill>
    </dxf>
    <dxf>
      <font>
        <b/>
        <color rgb="FF375623"/>
      </font>
      <fill>
        <patternFill>
          <bgColor rgb="FFE2F0D9"/>
        </patternFill>
      </fill>
    </dxf>
    <dxf>
      <font>
        <b/>
        <color rgb="FF9C0006"/>
      </font>
      <fill>
        <patternFill>
          <bgColor rgb="FFF4CCCC"/>
        </patternFill>
      </fill>
    </dxf>
    <dxf>
      <font>
        <color rgb="FF666666"/>
      </font>
      <fill>
        <patternFill>
          <bgColor rgb="FFE7E6E6"/>
        </patternFill>
      </fill>
    </dxf>
    <dxf>
      <font>
        <color rgb="FF7F6000"/>
      </font>
      <fill>
        <patternFill>
          <bgColor rgb="FFFFF2CC"/>
        </patternFill>
      </fill>
    </dxf>
    <dxf>
      <font>
        <b/>
        <color rgb="FF375623"/>
      </font>
      <fill>
        <patternFill>
          <bgColor rgb="FFE2F0D9"/>
        </patternFill>
      </fill>
    </dxf>
    <dxf>
      <font>
        <b/>
        <color rgb="FF7F6000"/>
      </font>
      <fill>
        <patternFill>
          <bgColor rgb="FFFFF2CC"/>
        </patternFill>
      </fill>
    </dxf>
    <dxf>
      <font>
        <b/>
        <color rgb="FFC00000"/>
      </font>
      <fill>
        <patternFill>
          <bgColor rgb="FFFCE4D6"/>
        </patternFill>
      </fill>
    </dxf>
    <dxf>
      <font>
        <b/>
        <color rgb="FF375623"/>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EpicSummaryTable" displayName="EpicSummaryTable" ref="A12:K19">
  <tableColumns count="11">
    <tableColumn id="1" xr3:uid="{00000000-0010-0000-0000-000001000000}" name="Epic ID"/>
    <tableColumn id="2" xr3:uid="{00000000-0010-0000-0000-000002000000}" name="Epic"/>
    <tableColumn id="3" xr3:uid="{00000000-0010-0000-0000-000003000000}" name="Sheet"/>
    <tableColumn id="4" xr3:uid="{00000000-0010-0000-0000-000004000000}" name="Test Cases"/>
    <tableColumn id="5" xr3:uid="{00000000-0010-0000-0000-000005000000}" name="Auto Yes"/>
    <tableColumn id="6" xr3:uid="{00000000-0010-0000-0000-000006000000}" name="Auto Later"/>
    <tableColumn id="7" xr3:uid="{00000000-0010-0000-0000-000007000000}" name="Auto No"/>
    <tableColumn id="8" xr3:uid="{00000000-0010-0000-0000-000008000000}" name="Not Run"/>
    <tableColumn id="9" xr3:uid="{00000000-0010-0000-0000-000009000000}" name="Pass"/>
    <tableColumn id="10" xr3:uid="{00000000-0010-0000-0000-00000A000000}" name="Fail"/>
    <tableColumn id="11" xr3:uid="{00000000-0010-0000-0000-00000B000000}" name="Blocked"/>
  </tableColumns>
  <tableStyleInfo name="00_Overview-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uthCases" displayName="AuthCases" ref="A1:V14">
  <tableColumns count="22">
    <tableColumn id="1" xr3:uid="{00000000-0010-0000-0100-000001000000}" name="Test Case ID"/>
    <tableColumn id="2" xr3:uid="{00000000-0010-0000-0100-000002000000}" name="Epic ID"/>
    <tableColumn id="3" xr3:uid="{00000000-0010-0000-0100-000003000000}" name="Epic"/>
    <tableColumn id="4" xr3:uid="{00000000-0010-0000-0100-000004000000}" name="Story ID"/>
    <tableColumn id="5" xr3:uid="{00000000-0010-0000-0100-000005000000}" name="Story"/>
    <tableColumn id="6" xr3:uid="{00000000-0010-0000-0100-000006000000}" name="AC Ref"/>
    <tableColumn id="7" xr3:uid="{00000000-0010-0000-0100-000007000000}" name="Scenario"/>
    <tableColumn id="8" xr3:uid="{00000000-0010-0000-0100-000008000000}" name="Test Case Title"/>
    <tableColumn id="9" xr3:uid="{00000000-0010-0000-0100-000009000000}" name="Precondition"/>
    <tableColumn id="10" xr3:uid="{00000000-0010-0000-0100-00000A000000}" name="Test Steps"/>
    <tableColumn id="11" xr3:uid="{00000000-0010-0000-0100-00000B000000}" name="Test Data"/>
    <tableColumn id="12" xr3:uid="{00000000-0010-0000-0100-00000C000000}" name="Expected Result"/>
    <tableColumn id="13" xr3:uid="{00000000-0010-0000-0100-00000D000000}" name="Actual Result"/>
    <tableColumn id="14" xr3:uid="{00000000-0010-0000-0100-00000E000000}" name="Status"/>
    <tableColumn id="15" xr3:uid="{00000000-0010-0000-0100-00000F000000}" name="Priority"/>
    <tableColumn id="16" xr3:uid="{00000000-0010-0000-0100-000010000000}" name="Test Type"/>
    <tableColumn id="17" xr3:uid="{00000000-0010-0000-0100-000011000000}" name="Automation Candidate"/>
    <tableColumn id="18" xr3:uid="{00000000-0010-0000-0100-000012000000}" name="Auto Priority"/>
    <tableColumn id="19" xr3:uid="{00000000-0010-0000-0100-000013000000}" name="Bug ID"/>
    <tableColumn id="20" xr3:uid="{00000000-0010-0000-0100-000014000000}" name="Evidence / Notes"/>
    <tableColumn id="21" xr3:uid="{00000000-0010-0000-0100-000015000000}" name="Source Case"/>
    <tableColumn id="22" xr3:uid="{00000000-0010-0000-0100-000016000000}" name="Source URL"/>
  </tableColumns>
  <tableStyleInfo name="01_Authentication-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ProductCases" displayName="ProductCases" ref="A1:V15">
  <tableColumns count="22">
    <tableColumn id="1" xr3:uid="{00000000-0010-0000-0200-000001000000}" name="Test Case ID"/>
    <tableColumn id="2" xr3:uid="{00000000-0010-0000-0200-000002000000}" name="Epic ID"/>
    <tableColumn id="3" xr3:uid="{00000000-0010-0000-0200-000003000000}" name="Epic"/>
    <tableColumn id="4" xr3:uid="{00000000-0010-0000-0200-000004000000}" name="Story ID"/>
    <tableColumn id="5" xr3:uid="{00000000-0010-0000-0200-000005000000}" name="Story"/>
    <tableColumn id="6" xr3:uid="{00000000-0010-0000-0200-000006000000}" name="AC Ref"/>
    <tableColumn id="7" xr3:uid="{00000000-0010-0000-0200-000007000000}" name="Scenario"/>
    <tableColumn id="8" xr3:uid="{00000000-0010-0000-0200-000008000000}" name="Test Case Title"/>
    <tableColumn id="9" xr3:uid="{00000000-0010-0000-0200-000009000000}" name="Precondition"/>
    <tableColumn id="10" xr3:uid="{00000000-0010-0000-0200-00000A000000}" name="Test Steps"/>
    <tableColumn id="11" xr3:uid="{00000000-0010-0000-0200-00000B000000}" name="Test Data"/>
    <tableColumn id="12" xr3:uid="{00000000-0010-0000-0200-00000C000000}" name="Expected Result"/>
    <tableColumn id="13" xr3:uid="{00000000-0010-0000-0200-00000D000000}" name="Actual Result"/>
    <tableColumn id="14" xr3:uid="{00000000-0010-0000-0200-00000E000000}" name="Status"/>
    <tableColumn id="15" xr3:uid="{00000000-0010-0000-0200-00000F000000}" name="Priority"/>
    <tableColumn id="16" xr3:uid="{00000000-0010-0000-0200-000010000000}" name="Test Type"/>
    <tableColumn id="17" xr3:uid="{00000000-0010-0000-0200-000011000000}" name="Automation Candidate"/>
    <tableColumn id="18" xr3:uid="{00000000-0010-0000-0200-000012000000}" name="Auto Priority"/>
    <tableColumn id="19" xr3:uid="{00000000-0010-0000-0200-000013000000}" name="Bug ID"/>
    <tableColumn id="20" xr3:uid="{00000000-0010-0000-0200-000014000000}" name="Evidence / Notes"/>
    <tableColumn id="21" xr3:uid="{00000000-0010-0000-0200-000015000000}" name="Source Case"/>
    <tableColumn id="22" xr3:uid="{00000000-0010-0000-0200-000016000000}" name="Source URL"/>
  </tableColumns>
  <tableStyleInfo name="02_Product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artCases" displayName="CartCases" ref="A1:V9">
  <tableColumns count="22">
    <tableColumn id="1" xr3:uid="{00000000-0010-0000-0300-000001000000}" name="Test Case ID"/>
    <tableColumn id="2" xr3:uid="{00000000-0010-0000-0300-000002000000}" name="Epic ID"/>
    <tableColumn id="3" xr3:uid="{00000000-0010-0000-0300-000003000000}" name="Epic"/>
    <tableColumn id="4" xr3:uid="{00000000-0010-0000-0300-000004000000}" name="Story ID"/>
    <tableColumn id="5" xr3:uid="{00000000-0010-0000-0300-000005000000}" name="Story"/>
    <tableColumn id="6" xr3:uid="{00000000-0010-0000-0300-000006000000}" name="AC Ref"/>
    <tableColumn id="7" xr3:uid="{00000000-0010-0000-0300-000007000000}" name="Scenario"/>
    <tableColumn id="8" xr3:uid="{00000000-0010-0000-0300-000008000000}" name="Test Case Title"/>
    <tableColumn id="9" xr3:uid="{00000000-0010-0000-0300-000009000000}" name="Precondition"/>
    <tableColumn id="10" xr3:uid="{00000000-0010-0000-0300-00000A000000}" name="Test Steps"/>
    <tableColumn id="11" xr3:uid="{00000000-0010-0000-0300-00000B000000}" name="Test Data"/>
    <tableColumn id="12" xr3:uid="{00000000-0010-0000-0300-00000C000000}" name="Expected Result"/>
    <tableColumn id="13" xr3:uid="{00000000-0010-0000-0300-00000D000000}" name="Actual Result"/>
    <tableColumn id="14" xr3:uid="{00000000-0010-0000-0300-00000E000000}" name="Status"/>
    <tableColumn id="15" xr3:uid="{00000000-0010-0000-0300-00000F000000}" name="Priority"/>
    <tableColumn id="16" xr3:uid="{00000000-0010-0000-0300-000010000000}" name="Test Type"/>
    <tableColumn id="17" xr3:uid="{00000000-0010-0000-0300-000011000000}" name="Automation Candidate"/>
    <tableColumn id="18" xr3:uid="{00000000-0010-0000-0300-000012000000}" name="Auto Priority"/>
    <tableColumn id="19" xr3:uid="{00000000-0010-0000-0300-000013000000}" name="Bug ID"/>
    <tableColumn id="20" xr3:uid="{00000000-0010-0000-0300-000014000000}" name="Evidence / Notes"/>
    <tableColumn id="21" xr3:uid="{00000000-0010-0000-0300-000015000000}" name="Source Case"/>
    <tableColumn id="22" xr3:uid="{00000000-0010-0000-0300-000016000000}" name="Source URL"/>
  </tableColumns>
  <tableStyleInfo name="03_Cart-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CheckoutCases" displayName="CheckoutCases" ref="A1:V9">
  <tableColumns count="22">
    <tableColumn id="1" xr3:uid="{00000000-0010-0000-0400-000001000000}" name="Test Case ID"/>
    <tableColumn id="2" xr3:uid="{00000000-0010-0000-0400-000002000000}" name="Epic ID"/>
    <tableColumn id="3" xr3:uid="{00000000-0010-0000-0400-000003000000}" name="Epic"/>
    <tableColumn id="4" xr3:uid="{00000000-0010-0000-0400-000004000000}" name="Story ID"/>
    <tableColumn id="5" xr3:uid="{00000000-0010-0000-0400-000005000000}" name="Story"/>
    <tableColumn id="6" xr3:uid="{00000000-0010-0000-0400-000006000000}" name="AC Ref"/>
    <tableColumn id="7" xr3:uid="{00000000-0010-0000-0400-000007000000}" name="Scenario"/>
    <tableColumn id="8" xr3:uid="{00000000-0010-0000-0400-000008000000}" name="Test Case Title"/>
    <tableColumn id="9" xr3:uid="{00000000-0010-0000-0400-000009000000}" name="Precondition"/>
    <tableColumn id="10" xr3:uid="{00000000-0010-0000-0400-00000A000000}" name="Test Steps"/>
    <tableColumn id="11" xr3:uid="{00000000-0010-0000-0400-00000B000000}" name="Test Data"/>
    <tableColumn id="12" xr3:uid="{00000000-0010-0000-0400-00000C000000}" name="Expected Result"/>
    <tableColumn id="13" xr3:uid="{00000000-0010-0000-0400-00000D000000}" name="Actual Result"/>
    <tableColumn id="14" xr3:uid="{00000000-0010-0000-0400-00000E000000}" name="Status"/>
    <tableColumn id="15" xr3:uid="{00000000-0010-0000-0400-00000F000000}" name="Priority"/>
    <tableColumn id="16" xr3:uid="{00000000-0010-0000-0400-000010000000}" name="Test Type"/>
    <tableColumn id="17" xr3:uid="{00000000-0010-0000-0400-000011000000}" name="Automation Candidate"/>
    <tableColumn id="18" xr3:uid="{00000000-0010-0000-0400-000012000000}" name="Auto Priority"/>
    <tableColumn id="19" xr3:uid="{00000000-0010-0000-0400-000013000000}" name="Bug ID"/>
    <tableColumn id="20" xr3:uid="{00000000-0010-0000-0400-000014000000}" name="Evidence / Notes"/>
    <tableColumn id="21" xr3:uid="{00000000-0010-0000-0400-000015000000}" name="Source Case"/>
    <tableColumn id="22" xr3:uid="{00000000-0010-0000-0400-000016000000}" name="Source URL"/>
  </tableColumns>
  <tableStyleInfo name="04_Checkout-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SupportCases" displayName="SupportCases" ref="A1:V7">
  <tableColumns count="22">
    <tableColumn id="1" xr3:uid="{00000000-0010-0000-0500-000001000000}" name="Test Case ID"/>
    <tableColumn id="2" xr3:uid="{00000000-0010-0000-0500-000002000000}" name="Epic ID"/>
    <tableColumn id="3" xr3:uid="{00000000-0010-0000-0500-000003000000}" name="Epic"/>
    <tableColumn id="4" xr3:uid="{00000000-0010-0000-0500-000004000000}" name="Story ID"/>
    <tableColumn id="5" xr3:uid="{00000000-0010-0000-0500-000005000000}" name="Story"/>
    <tableColumn id="6" xr3:uid="{00000000-0010-0000-0500-000006000000}" name="AC Ref"/>
    <tableColumn id="7" xr3:uid="{00000000-0010-0000-0500-000007000000}" name="Scenario"/>
    <tableColumn id="8" xr3:uid="{00000000-0010-0000-0500-000008000000}" name="Test Case Title"/>
    <tableColumn id="9" xr3:uid="{00000000-0010-0000-0500-000009000000}" name="Precondition"/>
    <tableColumn id="10" xr3:uid="{00000000-0010-0000-0500-00000A000000}" name="Test Steps"/>
    <tableColumn id="11" xr3:uid="{00000000-0010-0000-0500-00000B000000}" name="Test Data"/>
    <tableColumn id="12" xr3:uid="{00000000-0010-0000-0500-00000C000000}" name="Expected Result"/>
    <tableColumn id="13" xr3:uid="{00000000-0010-0000-0500-00000D000000}" name="Actual Result"/>
    <tableColumn id="14" xr3:uid="{00000000-0010-0000-0500-00000E000000}" name="Status"/>
    <tableColumn id="15" xr3:uid="{00000000-0010-0000-0500-00000F000000}" name="Priority"/>
    <tableColumn id="16" xr3:uid="{00000000-0010-0000-0500-000010000000}" name="Test Type"/>
    <tableColumn id="17" xr3:uid="{00000000-0010-0000-0500-000011000000}" name="Automation Candidate"/>
    <tableColumn id="18" xr3:uid="{00000000-0010-0000-0500-000012000000}" name="Auto Priority"/>
    <tableColumn id="19" xr3:uid="{00000000-0010-0000-0500-000013000000}" name="Bug ID"/>
    <tableColumn id="20" xr3:uid="{00000000-0010-0000-0500-000014000000}" name="Evidence / Notes"/>
    <tableColumn id="21" xr3:uid="{00000000-0010-0000-0500-000015000000}" name="Source Case"/>
    <tableColumn id="22" xr3:uid="{00000000-0010-0000-0500-000016000000}" name="Source URL"/>
  </tableColumns>
  <tableStyleInfo name="05_Suppor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NavigationCases" displayName="NavigationCases" ref="A1:V6">
  <tableColumns count="22">
    <tableColumn id="1" xr3:uid="{00000000-0010-0000-0600-000001000000}" name="Test Case ID"/>
    <tableColumn id="2" xr3:uid="{00000000-0010-0000-0600-000002000000}" name="Epic ID"/>
    <tableColumn id="3" xr3:uid="{00000000-0010-0000-0600-000003000000}" name="Epic"/>
    <tableColumn id="4" xr3:uid="{00000000-0010-0000-0600-000004000000}" name="Story ID"/>
    <tableColumn id="5" xr3:uid="{00000000-0010-0000-0600-000005000000}" name="Story"/>
    <tableColumn id="6" xr3:uid="{00000000-0010-0000-0600-000006000000}" name="AC Ref"/>
    <tableColumn id="7" xr3:uid="{00000000-0010-0000-0600-000007000000}" name="Scenario"/>
    <tableColumn id="8" xr3:uid="{00000000-0010-0000-0600-000008000000}" name="Test Case Title"/>
    <tableColumn id="9" xr3:uid="{00000000-0010-0000-0600-000009000000}" name="Precondition"/>
    <tableColumn id="10" xr3:uid="{00000000-0010-0000-0600-00000A000000}" name="Test Steps"/>
    <tableColumn id="11" xr3:uid="{00000000-0010-0000-0600-00000B000000}" name="Test Data"/>
    <tableColumn id="12" xr3:uid="{00000000-0010-0000-0600-00000C000000}" name="Expected Result"/>
    <tableColumn id="13" xr3:uid="{00000000-0010-0000-0600-00000D000000}" name="Actual Result"/>
    <tableColumn id="14" xr3:uid="{00000000-0010-0000-0600-00000E000000}" name="Status"/>
    <tableColumn id="15" xr3:uid="{00000000-0010-0000-0600-00000F000000}" name="Priority"/>
    <tableColumn id="16" xr3:uid="{00000000-0010-0000-0600-000010000000}" name="Test Type"/>
    <tableColumn id="17" xr3:uid="{00000000-0010-0000-0600-000011000000}" name="Automation Candidate"/>
    <tableColumn id="18" xr3:uid="{00000000-0010-0000-0600-000012000000}" name="Auto Priority"/>
    <tableColumn id="19" xr3:uid="{00000000-0010-0000-0600-000013000000}" name="Bug ID"/>
    <tableColumn id="20" xr3:uid="{00000000-0010-0000-0600-000014000000}" name="Evidence / Notes"/>
    <tableColumn id="21" xr3:uid="{00000000-0010-0000-0600-000015000000}" name="Source Case"/>
    <tableColumn id="22" xr3:uid="{00000000-0010-0000-0600-000016000000}" name="Source URL"/>
  </tableColumns>
  <tableStyleInfo name="06_Navigation-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piCases" displayName="ApiCases" ref="A1:V15">
  <tableColumns count="22">
    <tableColumn id="1" xr3:uid="{00000000-0010-0000-0700-000001000000}" name="Test Case ID"/>
    <tableColumn id="2" xr3:uid="{00000000-0010-0000-0700-000002000000}" name="Epic ID"/>
    <tableColumn id="3" xr3:uid="{00000000-0010-0000-0700-000003000000}" name="Epic"/>
    <tableColumn id="4" xr3:uid="{00000000-0010-0000-0700-000004000000}" name="Story ID"/>
    <tableColumn id="5" xr3:uid="{00000000-0010-0000-0700-000005000000}" name="Story"/>
    <tableColumn id="6" xr3:uid="{00000000-0010-0000-0700-000006000000}" name="AC Ref"/>
    <tableColumn id="7" xr3:uid="{00000000-0010-0000-0700-000007000000}" name="Scenario"/>
    <tableColumn id="8" xr3:uid="{00000000-0010-0000-0700-000008000000}" name="Test Case Title"/>
    <tableColumn id="9" xr3:uid="{00000000-0010-0000-0700-000009000000}" name="Precondition"/>
    <tableColumn id="10" xr3:uid="{00000000-0010-0000-0700-00000A000000}" name="Test Steps"/>
    <tableColumn id="11" xr3:uid="{00000000-0010-0000-0700-00000B000000}" name="Test Data"/>
    <tableColumn id="12" xr3:uid="{00000000-0010-0000-0700-00000C000000}" name="Expected Result"/>
    <tableColumn id="13" xr3:uid="{00000000-0010-0000-0700-00000D000000}" name="Actual Result"/>
    <tableColumn id="14" xr3:uid="{00000000-0010-0000-0700-00000E000000}" name="Status"/>
    <tableColumn id="15" xr3:uid="{00000000-0010-0000-0700-00000F000000}" name="Priority"/>
    <tableColumn id="16" xr3:uid="{00000000-0010-0000-0700-000010000000}" name="Test Type"/>
    <tableColumn id="17" xr3:uid="{00000000-0010-0000-0700-000011000000}" name="Automation Candidate"/>
    <tableColumn id="18" xr3:uid="{00000000-0010-0000-0700-000012000000}" name="Auto Priority"/>
    <tableColumn id="19" xr3:uid="{00000000-0010-0000-0700-000013000000}" name="Bug ID"/>
    <tableColumn id="20" xr3:uid="{00000000-0010-0000-0700-000014000000}" name="Evidence / Notes"/>
    <tableColumn id="21" xr3:uid="{00000000-0010-0000-0700-000015000000}" name="Source Case"/>
    <tableColumn id="22" xr3:uid="{00000000-0010-0000-0700-000016000000}" name="Source URL"/>
  </tableColumns>
  <tableStyleInfo name="07_API-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workbookViewId="0">
      <selection sqref="A1:K1"/>
    </sheetView>
  </sheetViews>
  <sheetFormatPr baseColWidth="10" defaultColWidth="12.6640625" defaultRowHeight="15"/>
  <cols>
    <col min="1" max="1" width="16" customWidth="1"/>
    <col min="2" max="2" width="48" customWidth="1"/>
    <col min="3" max="3" width="22" customWidth="1"/>
    <col min="4" max="4" width="28" customWidth="1"/>
    <col min="5" max="8" width="14" customWidth="1"/>
    <col min="9" max="11" width="12" customWidth="1"/>
    <col min="12" max="26" width="8.6640625" customWidth="1"/>
  </cols>
  <sheetData>
    <row r="1" spans="1:11" ht="37" customHeight="1">
      <c r="A1" s="30" t="s">
        <v>0</v>
      </c>
      <c r="B1" s="31"/>
      <c r="C1" s="31"/>
      <c r="D1" s="31"/>
      <c r="E1" s="31"/>
      <c r="F1" s="31"/>
      <c r="G1" s="31"/>
      <c r="H1" s="31"/>
      <c r="I1" s="31"/>
      <c r="J1" s="31"/>
      <c r="K1" s="31"/>
    </row>
    <row r="2" spans="1:11">
      <c r="A2" s="1"/>
      <c r="B2" s="1"/>
      <c r="C2" s="1"/>
      <c r="D2" s="1"/>
      <c r="E2" s="1"/>
      <c r="F2" s="1"/>
      <c r="G2" s="1"/>
      <c r="H2" s="1"/>
      <c r="I2" s="1"/>
      <c r="J2" s="1"/>
      <c r="K2" s="1"/>
    </row>
    <row r="3" spans="1:11" ht="16">
      <c r="A3" s="3" t="s">
        <v>1</v>
      </c>
      <c r="B3" s="1" t="s">
        <v>2</v>
      </c>
      <c r="C3" s="1"/>
      <c r="D3" s="4" t="s">
        <v>3</v>
      </c>
      <c r="E3" s="4" t="s">
        <v>4</v>
      </c>
      <c r="F3" s="1"/>
      <c r="G3" s="34" t="s">
        <v>610</v>
      </c>
      <c r="H3" s="31"/>
      <c r="I3" s="31"/>
      <c r="J3" s="31"/>
      <c r="K3" s="31"/>
    </row>
    <row r="4" spans="1:11" ht="32">
      <c r="A4" s="3" t="s">
        <v>5</v>
      </c>
      <c r="B4" s="1" t="s">
        <v>6</v>
      </c>
      <c r="C4" s="1"/>
      <c r="D4" s="1" t="s">
        <v>7</v>
      </c>
      <c r="E4" s="1">
        <f>COUNTA('01_Authentication'!$A$2:$A$200)+COUNTA('02_Products'!$A$2:$A$200)+COUNTA('03_Cart'!$A$2:$A$200)+COUNTA('04_Checkout'!$A$2:$A$200)+COUNTA('05_Support'!$A$2:$A$200)+COUNTA('06_Navigation'!$A$2:$A$200)+COUNTA('07_API'!$A$2:$A$200)</f>
        <v>68</v>
      </c>
      <c r="F4" s="1"/>
      <c r="G4" s="31"/>
      <c r="H4" s="31"/>
      <c r="I4" s="31"/>
      <c r="J4" s="31"/>
      <c r="K4" s="31"/>
    </row>
    <row r="5" spans="1:11" ht="32">
      <c r="A5" s="3" t="s">
        <v>8</v>
      </c>
      <c r="B5" s="1" t="s">
        <v>9</v>
      </c>
      <c r="C5" s="1"/>
      <c r="D5" s="1" t="s">
        <v>10</v>
      </c>
      <c r="E5" s="1">
        <f>COUNTIF('01_Authentication'!$Q$2:$Q$200,"Yes")+COUNTIF('02_Products'!$Q$2:$Q$200,"Yes")+COUNTIF('03_Cart'!$Q$2:$Q$200,"Yes")+COUNTIF('04_Checkout'!$Q$2:$Q$200,"Yes")+COUNTIF('05_Support'!$Q$2:$Q$200,"Yes")+COUNTIF('06_Navigation'!$Q$2:$Q$200,"Yes")+COUNTIF('07_API'!$Q$2:$Q$200,"Yes")</f>
        <v>37</v>
      </c>
      <c r="F5" s="1"/>
      <c r="G5" s="31"/>
      <c r="H5" s="31"/>
      <c r="I5" s="31"/>
      <c r="J5" s="31"/>
      <c r="K5" s="31"/>
    </row>
    <row r="6" spans="1:11" ht="18" customHeight="1">
      <c r="A6" s="3" t="s">
        <v>11</v>
      </c>
      <c r="B6" s="1" t="s">
        <v>12</v>
      </c>
      <c r="C6" s="1"/>
      <c r="D6" s="1" t="s">
        <v>13</v>
      </c>
      <c r="E6" s="1">
        <f>COUNTIF('01_Authentication'!$Q$2:$Q$200,"Later")+COUNTIF('02_Products'!$Q$2:$Q$200,"Later")+COUNTIF('03_Cart'!$Q$2:$Q$200,"Later")+COUNTIF('04_Checkout'!$Q$2:$Q$200,"Later")+COUNTIF('05_Support'!$Q$2:$Q$200,"Later")+COUNTIF('06_Navigation'!$Q$2:$Q$200,"Later")+COUNTIF('07_API'!$Q$2:$Q$200,"Later")</f>
        <v>28</v>
      </c>
      <c r="F6" s="1"/>
      <c r="G6" s="31"/>
      <c r="H6" s="31"/>
      <c r="I6" s="31"/>
      <c r="J6" s="31"/>
      <c r="K6" s="31"/>
    </row>
    <row r="7" spans="1:11" ht="16">
      <c r="A7" s="1"/>
      <c r="B7" s="1"/>
      <c r="C7" s="1"/>
      <c r="D7" s="1" t="s">
        <v>14</v>
      </c>
      <c r="E7" s="1">
        <f>COUNTIF('01_Authentication'!$Q$2:$Q$200,"No")+COUNTIF('02_Products'!$Q$2:$Q$200,"No")+COUNTIF('03_Cart'!$Q$2:$Q$200,"No")+COUNTIF('04_Checkout'!$Q$2:$Q$200,"No")+COUNTIF('05_Support'!$Q$2:$Q$200,"No")+COUNTIF('06_Navigation'!$Q$2:$Q$200,"No")+COUNTIF('07_API'!$Q$2:$Q$200,"No")</f>
        <v>3</v>
      </c>
      <c r="F7" s="1"/>
      <c r="G7" s="1"/>
      <c r="H7" s="1"/>
      <c r="I7" s="1"/>
      <c r="J7" s="1"/>
      <c r="K7" s="1"/>
    </row>
    <row r="8" spans="1:11" ht="16">
      <c r="A8" s="1"/>
      <c r="B8" s="1"/>
      <c r="C8" s="1"/>
      <c r="D8" s="1" t="s">
        <v>15</v>
      </c>
      <c r="E8" s="1">
        <f>COUNTIF('01_Authentication'!$N$2:$N$200,"Not Run")+COUNTIF('02_Products'!$N$2:$N$200,"Not Run")+COUNTIF('03_Cart'!$N$2:$N$200,"Not Run")+COUNTIF('04_Checkout'!$N$2:$N$200,"Not Run")+COUNTIF('05_Support'!$N$2:$N$200,"Not Run")+COUNTIF('06_Navigation'!$N$2:$N$200,"Not Run")+COUNTIF('07_API'!$N$2:$N$200,"Not Run")</f>
        <v>0</v>
      </c>
      <c r="F8" s="1"/>
      <c r="G8" s="1"/>
      <c r="H8" s="1"/>
      <c r="I8" s="1"/>
      <c r="J8" s="1"/>
      <c r="K8" s="1"/>
    </row>
    <row r="9" spans="1:11" ht="16">
      <c r="A9" s="1"/>
      <c r="B9" s="1"/>
      <c r="C9" s="1"/>
      <c r="D9" s="1" t="s">
        <v>16</v>
      </c>
      <c r="E9" s="1">
        <f>COUNTIF('01_Authentication'!$N$2:$N$200,"Fail")+COUNTIF('02_Products'!$N$2:$N$200,"Fail")+COUNTIF('03_Cart'!$N$2:$N$200,"Fail")+COUNTIF('04_Checkout'!$N$2:$N$200,"Fail")+COUNTIF('05_Support'!$N$2:$N$200,"Fail")+COUNTIF('06_Navigation'!$N$2:$N$200,"Fail")+COUNTIF('07_API'!$N$2:$N$200,"Fail")</f>
        <v>0</v>
      </c>
      <c r="F9" s="1"/>
      <c r="G9" s="1"/>
      <c r="H9" s="1"/>
      <c r="I9" s="1"/>
      <c r="J9" s="1"/>
      <c r="K9" s="1"/>
    </row>
    <row r="10" spans="1:11">
      <c r="A10" s="1"/>
      <c r="B10" s="1"/>
      <c r="C10" s="1"/>
      <c r="D10" s="1"/>
      <c r="E10" s="1"/>
      <c r="F10" s="1"/>
      <c r="G10" s="1"/>
      <c r="H10" s="1"/>
      <c r="I10" s="1"/>
      <c r="J10" s="1"/>
      <c r="K10" s="1"/>
    </row>
    <row r="11" spans="1:11">
      <c r="A11" s="1"/>
      <c r="B11" s="1"/>
      <c r="C11" s="1"/>
      <c r="D11" s="1"/>
      <c r="E11" s="1"/>
      <c r="F11" s="1"/>
      <c r="G11" s="1"/>
      <c r="H11" s="1"/>
      <c r="I11" s="1"/>
      <c r="J11" s="1"/>
      <c r="K11" s="1"/>
    </row>
    <row r="12" spans="1:11" ht="16">
      <c r="A12" s="8" t="s">
        <v>17</v>
      </c>
      <c r="B12" s="8" t="s">
        <v>18</v>
      </c>
      <c r="C12" s="8" t="s">
        <v>19</v>
      </c>
      <c r="D12" s="8" t="s">
        <v>20</v>
      </c>
      <c r="E12" s="8" t="s">
        <v>21</v>
      </c>
      <c r="F12" s="8" t="s">
        <v>22</v>
      </c>
      <c r="G12" s="8" t="s">
        <v>23</v>
      </c>
      <c r="H12" s="8" t="s">
        <v>24</v>
      </c>
      <c r="I12" s="8" t="s">
        <v>25</v>
      </c>
      <c r="J12" s="8" t="s">
        <v>26</v>
      </c>
      <c r="K12" s="8" t="s">
        <v>27</v>
      </c>
    </row>
    <row r="13" spans="1:11" ht="16">
      <c r="A13" s="9" t="s">
        <v>28</v>
      </c>
      <c r="B13" s="9" t="s">
        <v>29</v>
      </c>
      <c r="C13" s="9" t="s">
        <v>30</v>
      </c>
      <c r="D13" s="9">
        <f>COUNTA('01_Authentication'!$A$2:$A$200)</f>
        <v>13</v>
      </c>
      <c r="E13" s="9">
        <f>COUNTIF('01_Authentication'!$Q$2:$Q$200,"Yes")</f>
        <v>6</v>
      </c>
      <c r="F13" s="9">
        <f>COUNTIF('01_Authentication'!$Q$2:$Q$200,"Later")</f>
        <v>7</v>
      </c>
      <c r="G13" s="9">
        <f>COUNTIF('01_Authentication'!$Q$2:$Q$200,"No")</f>
        <v>0</v>
      </c>
      <c r="H13" s="9">
        <f>COUNTIF('01_Authentication'!$N$2:$N$200,"Not Run")</f>
        <v>0</v>
      </c>
      <c r="I13" s="9">
        <f>COUNTIF('01_Authentication'!$N$2:$N$200,"Pass")</f>
        <v>13</v>
      </c>
      <c r="J13" s="9">
        <f>COUNTIF('01_Authentication'!$N$2:$N$200,"Fail")</f>
        <v>0</v>
      </c>
      <c r="K13" s="9">
        <f>COUNTIF('01_Authentication'!$N$2:$N$200,"Blocked")</f>
        <v>0</v>
      </c>
    </row>
    <row r="14" spans="1:11" ht="16">
      <c r="A14" s="9" t="s">
        <v>31</v>
      </c>
      <c r="B14" s="9" t="s">
        <v>32</v>
      </c>
      <c r="C14" s="9" t="s">
        <v>33</v>
      </c>
      <c r="D14" s="9">
        <f>COUNTA('02_Products'!$A$2:$A$200)</f>
        <v>14</v>
      </c>
      <c r="E14" s="9">
        <f>COUNTIF('02_Products'!$Q$2:$Q$200,"Yes")</f>
        <v>5</v>
      </c>
      <c r="F14" s="9">
        <f>COUNTIF('02_Products'!$Q$2:$Q$200,"Later")</f>
        <v>9</v>
      </c>
      <c r="G14" s="9">
        <f>COUNTIF('02_Products'!$Q$2:$Q$200,"No")</f>
        <v>0</v>
      </c>
      <c r="H14" s="9">
        <f>COUNTIF('02_Products'!$N$2:$N$200,"Not Run")</f>
        <v>0</v>
      </c>
      <c r="I14" s="9">
        <f>COUNTIF('02_Products'!$N$2:$N$200,"Pass")</f>
        <v>14</v>
      </c>
      <c r="J14" s="9">
        <f>COUNTIF('02_Products'!$N$2:$N$200,"Fail")</f>
        <v>0</v>
      </c>
      <c r="K14" s="9">
        <f>COUNTIF('02_Products'!$N$2:$N$200,"Blocked")</f>
        <v>0</v>
      </c>
    </row>
    <row r="15" spans="1:11" ht="16">
      <c r="A15" s="9" t="s">
        <v>34</v>
      </c>
      <c r="B15" s="9" t="s">
        <v>35</v>
      </c>
      <c r="C15" s="9" t="s">
        <v>36</v>
      </c>
      <c r="D15" s="9">
        <f>COUNTA('03_Cart'!$A$2:$A$200)</f>
        <v>8</v>
      </c>
      <c r="E15" s="9">
        <f>COUNTIF('03_Cart'!$Q$2:$Q$200,"Yes")</f>
        <v>4</v>
      </c>
      <c r="F15" s="9">
        <f>COUNTIF('03_Cart'!$Q$2:$Q$200,"Later")</f>
        <v>4</v>
      </c>
      <c r="G15" s="9">
        <f>COUNTIF('03_Cart'!$Q$2:$Q$200,"No")</f>
        <v>0</v>
      </c>
      <c r="H15" s="9">
        <f>COUNTIF('03_Cart'!$N$2:$N$200,"Not Run")</f>
        <v>0</v>
      </c>
      <c r="I15" s="9">
        <f>COUNTIF('03_Cart'!$N$2:$N$200,"Pass")</f>
        <v>8</v>
      </c>
      <c r="J15" s="9">
        <f>COUNTIF('03_Cart'!$N$2:$N$200,"Fail")</f>
        <v>0</v>
      </c>
      <c r="K15" s="9">
        <f>COUNTIF('03_Cart'!$N$2:$N$200,"Blocked")</f>
        <v>0</v>
      </c>
    </row>
    <row r="16" spans="1:11" ht="16">
      <c r="A16" s="9" t="s">
        <v>37</v>
      </c>
      <c r="B16" s="9" t="s">
        <v>38</v>
      </c>
      <c r="C16" s="9" t="s">
        <v>39</v>
      </c>
      <c r="D16" s="9">
        <f>COUNTA('04_Checkout'!$A$2:$A$200)</f>
        <v>8</v>
      </c>
      <c r="E16" s="9">
        <f>COUNTIF('04_Checkout'!$Q$2:$Q$200,"Yes")</f>
        <v>5</v>
      </c>
      <c r="F16" s="9">
        <f>COUNTIF('04_Checkout'!$Q$2:$Q$200,"Later")</f>
        <v>3</v>
      </c>
      <c r="G16" s="9">
        <f>COUNTIF('04_Checkout'!$Q$2:$Q$200,"No")</f>
        <v>0</v>
      </c>
      <c r="H16" s="9">
        <f>COUNTIF('04_Checkout'!$N$2:$N$200,"Not Run")</f>
        <v>0</v>
      </c>
      <c r="I16" s="9">
        <f>COUNTIF('04_Checkout'!$N$2:$N$200,"Pass")</f>
        <v>8</v>
      </c>
      <c r="J16" s="9">
        <f>COUNTIF('04_Checkout'!$N$2:$N$200,"Fail")</f>
        <v>0</v>
      </c>
      <c r="K16" s="9">
        <f>COUNTIF('04_Checkout'!$N$2:$N$200,"Blocked")</f>
        <v>0</v>
      </c>
    </row>
    <row r="17" spans="1:11" ht="16">
      <c r="A17" s="9" t="s">
        <v>40</v>
      </c>
      <c r="B17" s="9" t="s">
        <v>41</v>
      </c>
      <c r="C17" s="9" t="s">
        <v>42</v>
      </c>
      <c r="D17" s="9">
        <f>COUNTA('05_Support'!$A$2:$A$200)</f>
        <v>6</v>
      </c>
      <c r="E17" s="9">
        <f>COUNTIF('05_Support'!$Q$2:$Q$200,"Yes")</f>
        <v>2</v>
      </c>
      <c r="F17" s="9">
        <f>COUNTIF('05_Support'!$Q$2:$Q$200,"Later")</f>
        <v>4</v>
      </c>
      <c r="G17" s="9">
        <f>COUNTIF('05_Support'!$Q$2:$Q$200,"No")</f>
        <v>0</v>
      </c>
      <c r="H17" s="9">
        <f>COUNTIF('05_Support'!$N$2:$N$200,"Not Run")</f>
        <v>0</v>
      </c>
      <c r="I17" s="9">
        <f>COUNTIF('05_Support'!$N$2:$N$200,"Pass")</f>
        <v>6</v>
      </c>
      <c r="J17" s="9">
        <f>COUNTIF('05_Support'!$N$2:$N$200,"Fail")</f>
        <v>0</v>
      </c>
      <c r="K17" s="9">
        <f>COUNTIF('05_Support'!$N$2:$N$200,"Blocked")</f>
        <v>0</v>
      </c>
    </row>
    <row r="18" spans="1:11" ht="16">
      <c r="A18" s="9" t="s">
        <v>43</v>
      </c>
      <c r="B18" s="9" t="s">
        <v>44</v>
      </c>
      <c r="C18" s="9" t="s">
        <v>45</v>
      </c>
      <c r="D18" s="9">
        <f>COUNTA('06_Navigation'!$A$2:$A$200)</f>
        <v>5</v>
      </c>
      <c r="E18" s="9">
        <f>COUNTIF('06_Navigation'!$Q$2:$Q$200,"Yes")</f>
        <v>1</v>
      </c>
      <c r="F18" s="9">
        <f>COUNTIF('06_Navigation'!$Q$2:$Q$200,"Later")</f>
        <v>1</v>
      </c>
      <c r="G18" s="9">
        <f>COUNTIF('06_Navigation'!$Q$2:$Q$200,"No")</f>
        <v>3</v>
      </c>
      <c r="H18" s="9">
        <f>COUNTIF('06_Navigation'!$N$2:$N$200,"Not Run")</f>
        <v>0</v>
      </c>
      <c r="I18" s="9">
        <f>COUNTIF('06_Navigation'!$N$2:$N$200,"Pass")</f>
        <v>5</v>
      </c>
      <c r="J18" s="9">
        <f>COUNTIF('06_Navigation'!$N$2:$N$200,"Fail")</f>
        <v>0</v>
      </c>
      <c r="K18" s="9">
        <f>COUNTIF('06_Navigation'!$N$2:$N$200,"Blocked")</f>
        <v>0</v>
      </c>
    </row>
    <row r="19" spans="1:11" ht="16">
      <c r="A19" s="9" t="s">
        <v>46</v>
      </c>
      <c r="B19" s="9" t="s">
        <v>47</v>
      </c>
      <c r="C19" s="9" t="s">
        <v>48</v>
      </c>
      <c r="D19" s="9">
        <f>COUNTA('07_API'!$A$2:$A$200)</f>
        <v>14</v>
      </c>
      <c r="E19" s="9">
        <f>COUNTIF('07_API'!$Q$2:$Q$200,"Yes")</f>
        <v>14</v>
      </c>
      <c r="F19" s="9">
        <f>COUNTIF('07_API'!$Q$2:$Q$200,"Later")</f>
        <v>0</v>
      </c>
      <c r="G19" s="9">
        <f>COUNTIF('07_API'!$Q$2:$Q$200,"No")</f>
        <v>0</v>
      </c>
      <c r="H19" s="9">
        <f>COUNTIF('07_API'!$N$2:$N$200,"Not Run")</f>
        <v>0</v>
      </c>
      <c r="I19" s="9">
        <f>COUNTIF('07_API'!$N$2:$N$200,"Pass")</f>
        <v>14</v>
      </c>
      <c r="J19" s="9">
        <f>COUNTIF('07_API'!$N$2:$N$200,"Fail")</f>
        <v>0</v>
      </c>
      <c r="K19" s="9">
        <f>COUNTIF('07_API'!$N$2:$N$200,"Blocked")</f>
        <v>0</v>
      </c>
    </row>
    <row r="20" spans="1:11">
      <c r="A20" s="1"/>
      <c r="B20" s="1"/>
      <c r="C20" s="1"/>
      <c r="D20" s="1"/>
      <c r="E20" s="1"/>
      <c r="F20" s="1"/>
      <c r="G20" s="1"/>
      <c r="H20" s="1"/>
      <c r="I20" s="1"/>
      <c r="J20" s="1"/>
      <c r="K20" s="1"/>
    </row>
    <row r="21" spans="1:11" ht="21" customHeight="1">
      <c r="A21" s="1"/>
      <c r="B21" s="1"/>
      <c r="C21" s="1"/>
      <c r="D21" s="1"/>
      <c r="E21" s="1"/>
      <c r="F21" s="1"/>
      <c r="G21" s="1"/>
      <c r="H21" s="1"/>
      <c r="I21" s="1"/>
      <c r="J21" s="1"/>
      <c r="K21" s="1"/>
    </row>
    <row r="22" spans="1:11" ht="21" customHeight="1">
      <c r="A22" s="32" t="s">
        <v>49</v>
      </c>
      <c r="B22" s="31"/>
      <c r="C22" s="31"/>
      <c r="D22" s="31"/>
      <c r="E22" s="31"/>
      <c r="F22" s="31"/>
      <c r="G22" s="31"/>
      <c r="H22" s="31"/>
      <c r="I22" s="31"/>
      <c r="J22" s="31"/>
      <c r="K22" s="31"/>
    </row>
    <row r="23" spans="1:11" ht="20" customHeight="1">
      <c r="A23" s="1" t="s">
        <v>50</v>
      </c>
      <c r="B23" s="35" t="s">
        <v>51</v>
      </c>
      <c r="C23" s="35"/>
      <c r="D23" s="35"/>
      <c r="E23" s="35"/>
      <c r="F23" s="35"/>
      <c r="G23" s="35"/>
      <c r="H23" s="35"/>
      <c r="I23" s="35"/>
      <c r="J23" s="35"/>
      <c r="K23" s="35"/>
    </row>
    <row r="24" spans="1:11" ht="20" customHeight="1">
      <c r="A24" s="1" t="s">
        <v>52</v>
      </c>
      <c r="B24" s="35" t="s">
        <v>53</v>
      </c>
      <c r="C24" s="35"/>
      <c r="D24" s="35"/>
      <c r="E24" s="35"/>
      <c r="F24" s="35"/>
      <c r="G24" s="35"/>
      <c r="H24" s="35"/>
      <c r="I24" s="35"/>
      <c r="J24" s="35"/>
      <c r="K24" s="35"/>
    </row>
    <row r="25" spans="1:11" ht="20" customHeight="1">
      <c r="A25" s="1" t="s">
        <v>54</v>
      </c>
      <c r="B25" s="35" t="s">
        <v>55</v>
      </c>
      <c r="C25" s="35"/>
      <c r="D25" s="35"/>
      <c r="E25" s="35"/>
      <c r="F25" s="35"/>
      <c r="G25" s="35"/>
      <c r="H25" s="35"/>
      <c r="I25" s="35"/>
      <c r="J25" s="35"/>
      <c r="K25" s="35"/>
    </row>
    <row r="26" spans="1:11" ht="20" customHeight="1">
      <c r="A26" s="1" t="s">
        <v>56</v>
      </c>
      <c r="B26" s="35" t="s">
        <v>57</v>
      </c>
      <c r="C26" s="35"/>
      <c r="D26" s="35"/>
      <c r="E26" s="35"/>
      <c r="F26" s="35"/>
      <c r="G26" s="35"/>
      <c r="H26" s="35"/>
      <c r="I26" s="35"/>
      <c r="J26" s="35"/>
      <c r="K26" s="35"/>
    </row>
    <row r="27" spans="1:11" ht="20" customHeight="1">
      <c r="A27" s="1" t="s">
        <v>58</v>
      </c>
      <c r="B27" s="35" t="s">
        <v>611</v>
      </c>
      <c r="C27" s="35"/>
      <c r="D27" s="35"/>
      <c r="E27" s="35"/>
      <c r="F27" s="35"/>
      <c r="G27" s="35"/>
      <c r="H27" s="35"/>
      <c r="I27" s="35"/>
      <c r="J27" s="35"/>
      <c r="K27" s="35"/>
    </row>
    <row r="28" spans="1:11" ht="20" customHeight="1">
      <c r="A28" s="1" t="s">
        <v>59</v>
      </c>
      <c r="B28" s="35" t="s">
        <v>60</v>
      </c>
      <c r="C28" s="35"/>
      <c r="D28" s="35"/>
      <c r="E28" s="35"/>
      <c r="F28" s="35"/>
      <c r="G28" s="35"/>
      <c r="H28" s="35"/>
      <c r="I28" s="35"/>
      <c r="J28" s="35"/>
      <c r="K28" s="35"/>
    </row>
    <row r="29" spans="1:11" ht="20" customHeight="1">
      <c r="A29" s="1" t="s">
        <v>61</v>
      </c>
      <c r="B29" s="35" t="s">
        <v>612</v>
      </c>
      <c r="C29" s="35"/>
      <c r="D29" s="35"/>
      <c r="E29" s="35"/>
      <c r="F29" s="35"/>
      <c r="G29" s="35"/>
      <c r="H29" s="35"/>
      <c r="I29" s="35"/>
      <c r="J29" s="35"/>
      <c r="K29" s="35"/>
    </row>
    <row r="30" spans="1:11" ht="21" customHeight="1">
      <c r="A30" s="1"/>
      <c r="B30" s="1"/>
      <c r="C30" s="1"/>
      <c r="D30" s="1"/>
      <c r="E30" s="1"/>
      <c r="F30" s="1"/>
      <c r="G30" s="1"/>
      <c r="H30" s="1"/>
      <c r="I30" s="1"/>
      <c r="J30" s="1"/>
      <c r="K30" s="1"/>
    </row>
    <row r="31" spans="1:11" ht="21" customHeight="1">
      <c r="A31" s="1"/>
      <c r="B31" s="1"/>
      <c r="C31" s="1"/>
      <c r="D31" s="1"/>
      <c r="E31" s="1"/>
      <c r="F31" s="1"/>
      <c r="G31" s="1"/>
      <c r="H31" s="1"/>
      <c r="I31" s="1"/>
      <c r="J31" s="1"/>
      <c r="K31" s="1"/>
    </row>
    <row r="32" spans="1:11" ht="21" customHeight="1">
      <c r="A32" s="33"/>
      <c r="B32" s="31"/>
      <c r="C32" s="31"/>
      <c r="D32" s="31"/>
      <c r="E32" s="31"/>
      <c r="F32" s="31"/>
      <c r="G32" s="31"/>
      <c r="H32" s="31"/>
      <c r="I32" s="31"/>
      <c r="J32" s="31"/>
      <c r="K32" s="31"/>
    </row>
    <row r="33" spans="1:11" ht="21" customHeight="1">
      <c r="A33" s="1"/>
      <c r="B33" s="1"/>
      <c r="C33" s="1"/>
      <c r="D33" s="1"/>
      <c r="E33" s="1"/>
      <c r="F33" s="1"/>
      <c r="G33" s="1"/>
      <c r="H33" s="1"/>
      <c r="I33" s="1"/>
      <c r="J33" s="1"/>
      <c r="K33" s="1"/>
    </row>
    <row r="34" spans="1:11" ht="21" customHeight="1">
      <c r="A34" s="1"/>
      <c r="B34" s="1"/>
      <c r="C34" s="1"/>
      <c r="D34" s="1"/>
      <c r="E34" s="1"/>
      <c r="F34" s="1"/>
      <c r="G34" s="1"/>
      <c r="H34" s="1"/>
      <c r="I34" s="1"/>
      <c r="J34" s="1"/>
      <c r="K34" s="1"/>
    </row>
    <row r="35" spans="1:11" ht="21" customHeight="1">
      <c r="A35" s="1"/>
      <c r="B35" s="1"/>
      <c r="C35" s="1"/>
      <c r="D35" s="1"/>
      <c r="E35" s="1"/>
      <c r="F35" s="1"/>
      <c r="G35" s="1"/>
      <c r="H35" s="1"/>
      <c r="I35" s="1"/>
      <c r="J35" s="1"/>
      <c r="K35" s="1"/>
    </row>
    <row r="36" spans="1:11" ht="21" customHeight="1">
      <c r="A36" s="1"/>
      <c r="B36" s="1"/>
      <c r="C36" s="1"/>
      <c r="D36" s="1"/>
      <c r="E36" s="1"/>
      <c r="F36" s="1"/>
      <c r="G36" s="1"/>
      <c r="H36" s="1"/>
      <c r="I36" s="1"/>
      <c r="J36" s="1"/>
      <c r="K36" s="1"/>
    </row>
    <row r="37" spans="1:11" ht="21" customHeight="1">
      <c r="A37" s="1"/>
      <c r="B37" s="1"/>
      <c r="C37" s="1"/>
      <c r="D37" s="1"/>
      <c r="E37" s="1"/>
      <c r="F37" s="1"/>
      <c r="G37" s="1"/>
      <c r="H37" s="1"/>
      <c r="I37" s="1"/>
      <c r="J37" s="1"/>
      <c r="K37" s="1"/>
    </row>
    <row r="38" spans="1:11" ht="21" customHeight="1">
      <c r="A38" s="1"/>
      <c r="B38" s="1"/>
      <c r="C38" s="1"/>
      <c r="D38" s="1"/>
      <c r="E38" s="1"/>
      <c r="F38" s="1"/>
      <c r="G38" s="1"/>
      <c r="H38" s="1"/>
      <c r="I38" s="1"/>
      <c r="J38" s="1"/>
      <c r="K38" s="1"/>
    </row>
    <row r="39" spans="1:11" ht="21" customHeight="1">
      <c r="A39" s="1"/>
      <c r="B39" s="1"/>
      <c r="C39" s="1"/>
      <c r="D39" s="1"/>
      <c r="E39" s="1"/>
      <c r="F39" s="1"/>
      <c r="G39" s="1"/>
      <c r="H39" s="1"/>
      <c r="I39" s="1"/>
      <c r="J39" s="1"/>
      <c r="K39" s="1"/>
    </row>
    <row r="40" spans="1:11" ht="21" customHeight="1">
      <c r="A40" s="1"/>
      <c r="B40" s="1"/>
      <c r="C40" s="1"/>
      <c r="D40" s="1"/>
      <c r="E40" s="1"/>
      <c r="F40" s="1"/>
      <c r="G40" s="1"/>
      <c r="H40" s="1"/>
      <c r="I40" s="1"/>
      <c r="J40" s="1"/>
      <c r="K40" s="1"/>
    </row>
    <row r="41" spans="1:11" ht="21" customHeight="1"/>
    <row r="42" spans="1:11" ht="21" customHeight="1"/>
    <row r="43" spans="1:11" ht="21" customHeight="1"/>
    <row r="44" spans="1:11" ht="21" customHeight="1"/>
    <row r="45" spans="1:11" ht="21" customHeight="1"/>
    <row r="46" spans="1:11" ht="21" customHeight="1"/>
    <row r="47" spans="1:11" ht="21" customHeight="1"/>
    <row r="48" spans="1:11"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row r="350" ht="21" customHeight="1"/>
    <row r="351" ht="21" customHeight="1"/>
    <row r="352" ht="21" customHeight="1"/>
    <row r="353" ht="21" customHeight="1"/>
    <row r="354" ht="21" customHeight="1"/>
    <row r="355" ht="21" customHeight="1"/>
    <row r="356" ht="21" customHeight="1"/>
    <row r="357" ht="21" customHeight="1"/>
    <row r="358" ht="21" customHeight="1"/>
    <row r="359" ht="21" customHeight="1"/>
    <row r="360" ht="21" customHeight="1"/>
    <row r="361" ht="21" customHeight="1"/>
    <row r="362" ht="21" customHeight="1"/>
    <row r="363" ht="21" customHeight="1"/>
    <row r="364" ht="21" customHeight="1"/>
    <row r="365" ht="21" customHeight="1"/>
    <row r="366" ht="21" customHeight="1"/>
    <row r="367" ht="21" customHeight="1"/>
    <row r="368" ht="21" customHeight="1"/>
    <row r="369" ht="21" customHeight="1"/>
    <row r="370" ht="21" customHeight="1"/>
    <row r="371" ht="21" customHeight="1"/>
    <row r="372" ht="21" customHeight="1"/>
    <row r="373" ht="21" customHeight="1"/>
    <row r="374" ht="21" customHeight="1"/>
    <row r="375" ht="21" customHeight="1"/>
    <row r="376" ht="21" customHeight="1"/>
    <row r="377" ht="21" customHeight="1"/>
    <row r="378" ht="21" customHeight="1"/>
    <row r="379" ht="21" customHeight="1"/>
    <row r="380" ht="21" customHeight="1"/>
    <row r="381" ht="21" customHeight="1"/>
    <row r="382" ht="21" customHeight="1"/>
    <row r="383" ht="21" customHeight="1"/>
    <row r="384" ht="21" customHeight="1"/>
    <row r="385" ht="21" customHeight="1"/>
    <row r="386" ht="21" customHeight="1"/>
    <row r="387" ht="21" customHeight="1"/>
    <row r="388" ht="21" customHeight="1"/>
    <row r="389" ht="21" customHeight="1"/>
    <row r="390" ht="21" customHeight="1"/>
    <row r="391" ht="21" customHeight="1"/>
    <row r="392" ht="21" customHeight="1"/>
    <row r="393" ht="21" customHeight="1"/>
    <row r="394" ht="21" customHeight="1"/>
    <row r="395" ht="21" customHeight="1"/>
    <row r="396" ht="21" customHeight="1"/>
    <row r="397" ht="21" customHeight="1"/>
    <row r="398" ht="21" customHeight="1"/>
    <row r="399" ht="21" customHeight="1"/>
    <row r="400" ht="21" customHeight="1"/>
    <row r="401" ht="21" customHeight="1"/>
    <row r="402" ht="21" customHeight="1"/>
    <row r="403" ht="21" customHeight="1"/>
    <row r="404" ht="21" customHeight="1"/>
    <row r="405" ht="21" customHeight="1"/>
    <row r="406" ht="21" customHeight="1"/>
    <row r="407" ht="21" customHeight="1"/>
    <row r="408" ht="21" customHeight="1"/>
    <row r="409" ht="21" customHeight="1"/>
    <row r="410" ht="21" customHeight="1"/>
    <row r="411" ht="21" customHeight="1"/>
    <row r="412" ht="21" customHeight="1"/>
    <row r="413" ht="21" customHeight="1"/>
    <row r="414" ht="21" customHeight="1"/>
    <row r="415" ht="21" customHeight="1"/>
    <row r="416" ht="21" customHeight="1"/>
    <row r="417" ht="21" customHeight="1"/>
    <row r="418" ht="21" customHeight="1"/>
    <row r="419" ht="21" customHeight="1"/>
    <row r="420" ht="21" customHeight="1"/>
    <row r="421" ht="21" customHeight="1"/>
    <row r="422" ht="21" customHeight="1"/>
    <row r="423" ht="21" customHeight="1"/>
    <row r="424" ht="21" customHeight="1"/>
    <row r="425" ht="21" customHeight="1"/>
    <row r="426" ht="21" customHeight="1"/>
    <row r="427" ht="21" customHeight="1"/>
    <row r="428" ht="21" customHeight="1"/>
    <row r="429" ht="21" customHeight="1"/>
    <row r="430" ht="21" customHeight="1"/>
    <row r="431" ht="21" customHeight="1"/>
    <row r="432" ht="21" customHeight="1"/>
    <row r="433" ht="21" customHeight="1"/>
    <row r="434" ht="21" customHeight="1"/>
    <row r="435" ht="21" customHeight="1"/>
    <row r="436" ht="21" customHeight="1"/>
    <row r="437" ht="21" customHeight="1"/>
    <row r="438" ht="21" customHeight="1"/>
    <row r="439" ht="21" customHeight="1"/>
    <row r="440" ht="21" customHeight="1"/>
    <row r="441" ht="21" customHeight="1"/>
    <row r="442" ht="21" customHeight="1"/>
    <row r="443" ht="21" customHeight="1"/>
    <row r="444" ht="21" customHeight="1"/>
    <row r="445" ht="21" customHeight="1"/>
    <row r="446" ht="21" customHeight="1"/>
    <row r="447" ht="21" customHeight="1"/>
    <row r="448" ht="21" customHeight="1"/>
    <row r="449" ht="21" customHeight="1"/>
    <row r="450" ht="21" customHeight="1"/>
    <row r="451" ht="21" customHeight="1"/>
    <row r="452" ht="21" customHeight="1"/>
    <row r="453" ht="21" customHeight="1"/>
    <row r="454" ht="21" customHeight="1"/>
    <row r="455" ht="21" customHeight="1"/>
    <row r="456" ht="21" customHeight="1"/>
    <row r="457" ht="21" customHeight="1"/>
    <row r="458" ht="21" customHeight="1"/>
    <row r="459" ht="21" customHeight="1"/>
    <row r="460" ht="21" customHeight="1"/>
    <row r="461" ht="21" customHeight="1"/>
    <row r="462" ht="21" customHeight="1"/>
    <row r="463" ht="21" customHeight="1"/>
    <row r="464" ht="21" customHeight="1"/>
    <row r="465" ht="21" customHeight="1"/>
    <row r="466" ht="21" customHeight="1"/>
    <row r="467" ht="21" customHeight="1"/>
    <row r="468" ht="21" customHeight="1"/>
    <row r="469" ht="21" customHeight="1"/>
    <row r="470" ht="21" customHeight="1"/>
    <row r="471" ht="21" customHeight="1"/>
    <row r="472" ht="21" customHeight="1"/>
    <row r="473" ht="21" customHeight="1"/>
    <row r="474" ht="21" customHeight="1"/>
    <row r="475" ht="21" customHeight="1"/>
    <row r="476" ht="21" customHeight="1"/>
    <row r="477" ht="21" customHeight="1"/>
    <row r="478" ht="21" customHeight="1"/>
    <row r="479" ht="21" customHeight="1"/>
    <row r="480" ht="21" customHeight="1"/>
    <row r="481" ht="21" customHeight="1"/>
    <row r="482" ht="21" customHeight="1"/>
    <row r="483" ht="21" customHeight="1"/>
    <row r="484" ht="21" customHeight="1"/>
    <row r="485" ht="21" customHeight="1"/>
    <row r="486" ht="21" customHeight="1"/>
    <row r="487" ht="21" customHeight="1"/>
    <row r="488" ht="21" customHeight="1"/>
    <row r="489" ht="21" customHeight="1"/>
    <row r="490" ht="21" customHeight="1"/>
    <row r="491" ht="21" customHeight="1"/>
    <row r="492" ht="21" customHeight="1"/>
    <row r="493" ht="21" customHeight="1"/>
    <row r="494" ht="21" customHeight="1"/>
    <row r="495" ht="21" customHeight="1"/>
    <row r="496" ht="21" customHeight="1"/>
    <row r="497" ht="21" customHeight="1"/>
    <row r="498" ht="21" customHeight="1"/>
    <row r="499" ht="21" customHeight="1"/>
    <row r="500" ht="21" customHeight="1"/>
    <row r="501" ht="21" customHeight="1"/>
    <row r="502" ht="21" customHeight="1"/>
    <row r="503" ht="21" customHeight="1"/>
    <row r="504" ht="21" customHeight="1"/>
    <row r="505" ht="21" customHeight="1"/>
    <row r="506" ht="21" customHeight="1"/>
    <row r="507" ht="21" customHeight="1"/>
    <row r="508" ht="21" customHeight="1"/>
    <row r="509" ht="21" customHeight="1"/>
    <row r="510" ht="21" customHeight="1"/>
    <row r="511" ht="21" customHeight="1"/>
    <row r="512" ht="21" customHeight="1"/>
    <row r="513" ht="21" customHeight="1"/>
    <row r="514" ht="21" customHeight="1"/>
    <row r="515" ht="21" customHeight="1"/>
    <row r="516" ht="21" customHeight="1"/>
    <row r="517" ht="21" customHeight="1"/>
    <row r="518" ht="21" customHeight="1"/>
    <row r="519" ht="21" customHeight="1"/>
    <row r="520" ht="21" customHeight="1"/>
    <row r="521" ht="21" customHeight="1"/>
    <row r="522" ht="21" customHeight="1"/>
    <row r="523" ht="21" customHeight="1"/>
    <row r="524" ht="21" customHeight="1"/>
    <row r="525" ht="21" customHeight="1"/>
    <row r="526" ht="21" customHeight="1"/>
    <row r="527" ht="21" customHeight="1"/>
    <row r="528" ht="21" customHeight="1"/>
    <row r="529" ht="21" customHeight="1"/>
    <row r="530" ht="21" customHeight="1"/>
    <row r="531" ht="21" customHeight="1"/>
    <row r="532" ht="21" customHeight="1"/>
    <row r="533" ht="21" customHeight="1"/>
    <row r="534" ht="21" customHeight="1"/>
    <row r="535" ht="21" customHeight="1"/>
    <row r="536" ht="21" customHeight="1"/>
    <row r="537" ht="21" customHeight="1"/>
    <row r="538" ht="21" customHeight="1"/>
    <row r="539" ht="21" customHeight="1"/>
    <row r="540" ht="21" customHeight="1"/>
    <row r="541" ht="21" customHeight="1"/>
    <row r="542" ht="21" customHeight="1"/>
    <row r="543" ht="21" customHeight="1"/>
    <row r="544" ht="21" customHeight="1"/>
    <row r="545" ht="21" customHeight="1"/>
    <row r="546" ht="21" customHeight="1"/>
    <row r="547" ht="21" customHeight="1"/>
    <row r="548" ht="21" customHeight="1"/>
    <row r="549" ht="21" customHeight="1"/>
    <row r="550" ht="21" customHeight="1"/>
    <row r="551" ht="21" customHeight="1"/>
    <row r="552" ht="21" customHeight="1"/>
    <row r="553" ht="21" customHeight="1"/>
    <row r="554" ht="21" customHeight="1"/>
    <row r="555" ht="21" customHeight="1"/>
    <row r="556" ht="21" customHeight="1"/>
    <row r="557" ht="21" customHeight="1"/>
    <row r="558" ht="21" customHeight="1"/>
    <row r="559" ht="21" customHeight="1"/>
    <row r="560" ht="21" customHeight="1"/>
    <row r="561" ht="21" customHeight="1"/>
    <row r="562" ht="21" customHeight="1"/>
    <row r="563" ht="21" customHeight="1"/>
    <row r="564" ht="21" customHeight="1"/>
    <row r="565" ht="21" customHeight="1"/>
    <row r="566" ht="21" customHeight="1"/>
    <row r="567" ht="21" customHeight="1"/>
    <row r="568" ht="21" customHeight="1"/>
    <row r="569" ht="21" customHeight="1"/>
    <row r="570" ht="21" customHeight="1"/>
    <row r="571" ht="21" customHeight="1"/>
    <row r="572" ht="21" customHeight="1"/>
    <row r="573" ht="21" customHeight="1"/>
    <row r="574" ht="21" customHeight="1"/>
    <row r="575" ht="21" customHeight="1"/>
    <row r="576" ht="21" customHeight="1"/>
    <row r="577" ht="21" customHeight="1"/>
    <row r="578" ht="21" customHeight="1"/>
    <row r="579" ht="21" customHeight="1"/>
    <row r="580" ht="21" customHeight="1"/>
    <row r="581" ht="21" customHeight="1"/>
    <row r="582" ht="21" customHeight="1"/>
    <row r="583" ht="21" customHeight="1"/>
    <row r="584" ht="21" customHeight="1"/>
    <row r="585" ht="21" customHeight="1"/>
    <row r="586" ht="21" customHeight="1"/>
    <row r="587" ht="21" customHeight="1"/>
    <row r="588" ht="21" customHeight="1"/>
    <row r="589" ht="21" customHeight="1"/>
    <row r="590" ht="21" customHeight="1"/>
    <row r="591" ht="21" customHeight="1"/>
    <row r="592" ht="21" customHeight="1"/>
    <row r="593" ht="21" customHeight="1"/>
    <row r="594" ht="21" customHeight="1"/>
    <row r="595" ht="21" customHeight="1"/>
    <row r="596" ht="21" customHeight="1"/>
    <row r="597" ht="21" customHeight="1"/>
    <row r="598" ht="21" customHeight="1"/>
    <row r="599" ht="21" customHeight="1"/>
    <row r="600" ht="21" customHeight="1"/>
    <row r="601" ht="21" customHeight="1"/>
    <row r="602" ht="21" customHeight="1"/>
    <row r="603" ht="21" customHeight="1"/>
    <row r="604" ht="21" customHeight="1"/>
    <row r="605" ht="21" customHeight="1"/>
    <row r="606" ht="21" customHeight="1"/>
    <row r="607" ht="21" customHeight="1"/>
    <row r="608" ht="21" customHeight="1"/>
    <row r="609" ht="21" customHeight="1"/>
    <row r="610" ht="21" customHeight="1"/>
    <row r="611" ht="21" customHeight="1"/>
    <row r="612" ht="21" customHeight="1"/>
    <row r="613" ht="21" customHeight="1"/>
    <row r="614" ht="21" customHeight="1"/>
    <row r="615" ht="21" customHeight="1"/>
    <row r="616" ht="21" customHeight="1"/>
    <row r="617" ht="21" customHeight="1"/>
    <row r="618" ht="21" customHeight="1"/>
    <row r="619" ht="21" customHeight="1"/>
    <row r="620" ht="21" customHeight="1"/>
    <row r="621" ht="21" customHeight="1"/>
    <row r="622" ht="21" customHeight="1"/>
    <row r="623" ht="21" customHeight="1"/>
    <row r="624" ht="21" customHeight="1"/>
    <row r="625" ht="21" customHeight="1"/>
    <row r="626" ht="21" customHeight="1"/>
    <row r="627" ht="21" customHeight="1"/>
    <row r="628" ht="21" customHeight="1"/>
    <row r="629" ht="21" customHeight="1"/>
    <row r="630" ht="21" customHeight="1"/>
    <row r="631" ht="21" customHeight="1"/>
    <row r="632" ht="21" customHeight="1"/>
    <row r="633" ht="21" customHeight="1"/>
    <row r="634" ht="21" customHeight="1"/>
    <row r="635" ht="21" customHeight="1"/>
    <row r="636" ht="21" customHeight="1"/>
    <row r="637" ht="21" customHeight="1"/>
    <row r="638" ht="21" customHeight="1"/>
    <row r="639" ht="21" customHeight="1"/>
    <row r="640" ht="21" customHeight="1"/>
    <row r="641" ht="21" customHeight="1"/>
    <row r="642" ht="21" customHeight="1"/>
    <row r="643" ht="21" customHeight="1"/>
    <row r="644" ht="21" customHeight="1"/>
    <row r="645" ht="21" customHeight="1"/>
    <row r="646" ht="21" customHeight="1"/>
    <row r="647" ht="21" customHeight="1"/>
    <row r="648" ht="21" customHeight="1"/>
    <row r="649" ht="21" customHeight="1"/>
    <row r="650" ht="21" customHeight="1"/>
    <row r="651" ht="21" customHeight="1"/>
    <row r="652" ht="21" customHeight="1"/>
    <row r="653" ht="21" customHeight="1"/>
    <row r="654" ht="21" customHeight="1"/>
    <row r="655" ht="21" customHeight="1"/>
    <row r="656" ht="21" customHeight="1"/>
    <row r="657" ht="21" customHeight="1"/>
    <row r="658" ht="21" customHeight="1"/>
    <row r="659" ht="21" customHeight="1"/>
    <row r="660" ht="21" customHeight="1"/>
    <row r="661" ht="21" customHeight="1"/>
    <row r="662" ht="21" customHeight="1"/>
    <row r="663" ht="21" customHeight="1"/>
    <row r="664" ht="21" customHeight="1"/>
    <row r="665" ht="21" customHeight="1"/>
    <row r="666" ht="21" customHeight="1"/>
    <row r="667" ht="21" customHeight="1"/>
    <row r="668" ht="21" customHeight="1"/>
    <row r="669" ht="21" customHeight="1"/>
    <row r="670" ht="21" customHeight="1"/>
    <row r="671" ht="21" customHeight="1"/>
    <row r="672" ht="21" customHeight="1"/>
    <row r="673" ht="21" customHeight="1"/>
    <row r="674" ht="21" customHeight="1"/>
    <row r="675" ht="21" customHeight="1"/>
    <row r="676" ht="21" customHeight="1"/>
    <row r="677" ht="21" customHeight="1"/>
    <row r="678" ht="21" customHeight="1"/>
    <row r="679" ht="21" customHeight="1"/>
    <row r="680" ht="21" customHeight="1"/>
    <row r="681" ht="21" customHeight="1"/>
    <row r="682" ht="21" customHeight="1"/>
    <row r="683" ht="21" customHeight="1"/>
    <row r="684" ht="21" customHeight="1"/>
    <row r="685" ht="21" customHeight="1"/>
    <row r="686" ht="21" customHeight="1"/>
    <row r="687" ht="21" customHeight="1"/>
    <row r="688" ht="21" customHeight="1"/>
    <row r="689" ht="21" customHeight="1"/>
    <row r="690" ht="21" customHeight="1"/>
    <row r="691" ht="21" customHeight="1"/>
    <row r="692" ht="21" customHeight="1"/>
    <row r="693" ht="21" customHeight="1"/>
    <row r="694" ht="21" customHeight="1"/>
    <row r="695" ht="21" customHeight="1"/>
    <row r="696" ht="21" customHeight="1"/>
    <row r="697" ht="21" customHeight="1"/>
    <row r="698" ht="21" customHeight="1"/>
    <row r="699" ht="21" customHeight="1"/>
    <row r="700" ht="21" customHeight="1"/>
    <row r="701" ht="21" customHeight="1"/>
    <row r="702" ht="21" customHeight="1"/>
    <row r="703" ht="21" customHeight="1"/>
    <row r="704" ht="21" customHeight="1"/>
    <row r="705" ht="21" customHeight="1"/>
    <row r="706" ht="21" customHeight="1"/>
    <row r="707" ht="21" customHeight="1"/>
    <row r="708" ht="21" customHeight="1"/>
    <row r="709" ht="21" customHeight="1"/>
    <row r="710" ht="21" customHeight="1"/>
    <row r="711" ht="21" customHeight="1"/>
    <row r="712" ht="21" customHeight="1"/>
    <row r="713" ht="21" customHeight="1"/>
    <row r="714" ht="21" customHeight="1"/>
    <row r="715" ht="21" customHeight="1"/>
    <row r="716" ht="21" customHeight="1"/>
    <row r="717" ht="21" customHeight="1"/>
    <row r="718" ht="21" customHeight="1"/>
    <row r="719" ht="21" customHeight="1"/>
    <row r="720" ht="21" customHeight="1"/>
    <row r="721" ht="21" customHeight="1"/>
    <row r="722" ht="21" customHeight="1"/>
    <row r="723" ht="21" customHeight="1"/>
    <row r="724" ht="21" customHeight="1"/>
    <row r="725" ht="21" customHeight="1"/>
    <row r="726" ht="21" customHeight="1"/>
    <row r="727" ht="21" customHeight="1"/>
    <row r="728" ht="21" customHeight="1"/>
    <row r="729" ht="21" customHeight="1"/>
    <row r="730" ht="21" customHeight="1"/>
    <row r="731" ht="21" customHeight="1"/>
    <row r="732" ht="21" customHeight="1"/>
    <row r="733" ht="21" customHeight="1"/>
    <row r="734" ht="21" customHeight="1"/>
    <row r="735" ht="21" customHeight="1"/>
    <row r="736" ht="21" customHeight="1"/>
    <row r="737" ht="21" customHeight="1"/>
    <row r="738" ht="21" customHeight="1"/>
    <row r="739" ht="21" customHeight="1"/>
    <row r="740" ht="21" customHeight="1"/>
    <row r="741" ht="21" customHeight="1"/>
    <row r="742" ht="21" customHeight="1"/>
    <row r="743" ht="21" customHeight="1"/>
    <row r="744" ht="21" customHeight="1"/>
    <row r="745" ht="21" customHeight="1"/>
    <row r="746" ht="21" customHeight="1"/>
    <row r="747" ht="21" customHeight="1"/>
    <row r="748" ht="21" customHeight="1"/>
    <row r="749" ht="21" customHeight="1"/>
    <row r="750" ht="21" customHeight="1"/>
    <row r="751" ht="21" customHeight="1"/>
    <row r="752" ht="21" customHeight="1"/>
    <row r="753" ht="21" customHeight="1"/>
    <row r="754" ht="21" customHeight="1"/>
    <row r="755" ht="21" customHeight="1"/>
    <row r="756" ht="21" customHeight="1"/>
    <row r="757" ht="21" customHeight="1"/>
    <row r="758" ht="21" customHeight="1"/>
    <row r="759" ht="21" customHeight="1"/>
    <row r="760" ht="21" customHeight="1"/>
    <row r="761" ht="21" customHeight="1"/>
    <row r="762" ht="21" customHeight="1"/>
    <row r="763" ht="21" customHeight="1"/>
    <row r="764" ht="21" customHeight="1"/>
    <row r="765" ht="21" customHeight="1"/>
    <row r="766" ht="21" customHeight="1"/>
    <row r="767" ht="21" customHeight="1"/>
    <row r="768" ht="21" customHeight="1"/>
    <row r="769" ht="21" customHeight="1"/>
    <row r="770" ht="21" customHeight="1"/>
    <row r="771" ht="21" customHeight="1"/>
    <row r="772" ht="21" customHeight="1"/>
    <row r="773" ht="21" customHeight="1"/>
    <row r="774" ht="21" customHeight="1"/>
    <row r="775" ht="21" customHeight="1"/>
    <row r="776" ht="21" customHeight="1"/>
    <row r="777" ht="21" customHeight="1"/>
    <row r="778" ht="21" customHeight="1"/>
    <row r="779" ht="21" customHeight="1"/>
    <row r="780" ht="21" customHeight="1"/>
    <row r="781" ht="21" customHeight="1"/>
    <row r="782" ht="21" customHeight="1"/>
    <row r="783" ht="21" customHeight="1"/>
    <row r="784" ht="21" customHeight="1"/>
    <row r="785" ht="21" customHeight="1"/>
    <row r="786" ht="21" customHeight="1"/>
    <row r="787" ht="21" customHeight="1"/>
    <row r="788" ht="21" customHeight="1"/>
    <row r="789" ht="21" customHeight="1"/>
    <row r="790" ht="21" customHeight="1"/>
    <row r="791" ht="21" customHeight="1"/>
    <row r="792" ht="21" customHeight="1"/>
    <row r="793" ht="21" customHeight="1"/>
    <row r="794" ht="21" customHeight="1"/>
    <row r="795" ht="21" customHeight="1"/>
    <row r="796" ht="21" customHeight="1"/>
    <row r="797" ht="21" customHeight="1"/>
    <row r="798" ht="21" customHeight="1"/>
    <row r="799" ht="21" customHeight="1"/>
    <row r="800" ht="21" customHeight="1"/>
    <row r="801" ht="21" customHeight="1"/>
    <row r="802" ht="21" customHeight="1"/>
    <row r="803" ht="21" customHeight="1"/>
    <row r="804" ht="21" customHeight="1"/>
    <row r="805" ht="21" customHeight="1"/>
    <row r="806" ht="21" customHeight="1"/>
    <row r="807" ht="21" customHeight="1"/>
    <row r="808" ht="21" customHeight="1"/>
    <row r="809" ht="21" customHeight="1"/>
    <row r="810" ht="21" customHeight="1"/>
    <row r="811" ht="21" customHeight="1"/>
    <row r="812" ht="21" customHeight="1"/>
    <row r="813" ht="21" customHeight="1"/>
    <row r="814" ht="21" customHeight="1"/>
    <row r="815" ht="21" customHeight="1"/>
    <row r="816" ht="21" customHeight="1"/>
    <row r="817" ht="21" customHeight="1"/>
    <row r="818" ht="21" customHeight="1"/>
    <row r="819" ht="21" customHeight="1"/>
    <row r="820" ht="21" customHeight="1"/>
    <row r="821" ht="21" customHeight="1"/>
    <row r="822" ht="21" customHeight="1"/>
    <row r="823" ht="21" customHeight="1"/>
    <row r="824" ht="21" customHeight="1"/>
    <row r="825" ht="21" customHeight="1"/>
    <row r="826" ht="21" customHeight="1"/>
    <row r="827" ht="21" customHeight="1"/>
    <row r="828" ht="21" customHeight="1"/>
    <row r="829" ht="21" customHeight="1"/>
    <row r="830" ht="21" customHeight="1"/>
    <row r="831" ht="21" customHeight="1"/>
    <row r="832" ht="21" customHeight="1"/>
    <row r="833" ht="21" customHeight="1"/>
    <row r="834" ht="21" customHeight="1"/>
    <row r="835" ht="21" customHeight="1"/>
    <row r="836" ht="21" customHeight="1"/>
    <row r="837" ht="21" customHeight="1"/>
    <row r="838" ht="21" customHeight="1"/>
    <row r="839" ht="21" customHeight="1"/>
    <row r="840" ht="21" customHeight="1"/>
    <row r="841" ht="21" customHeight="1"/>
    <row r="842" ht="21" customHeight="1"/>
    <row r="843" ht="21" customHeight="1"/>
    <row r="844" ht="21" customHeight="1"/>
    <row r="845" ht="21" customHeight="1"/>
    <row r="846" ht="21" customHeight="1"/>
    <row r="847" ht="21" customHeight="1"/>
    <row r="848" ht="21" customHeight="1"/>
    <row r="849" ht="21" customHeight="1"/>
    <row r="850" ht="21" customHeight="1"/>
    <row r="851" ht="21" customHeight="1"/>
    <row r="852" ht="21" customHeight="1"/>
    <row r="853" ht="21" customHeight="1"/>
    <row r="854" ht="21" customHeight="1"/>
    <row r="855" ht="21" customHeight="1"/>
    <row r="856" ht="21" customHeight="1"/>
    <row r="857" ht="21" customHeight="1"/>
    <row r="858" ht="21" customHeight="1"/>
    <row r="859" ht="21" customHeight="1"/>
    <row r="860" ht="21" customHeight="1"/>
    <row r="861" ht="21" customHeight="1"/>
    <row r="862" ht="21" customHeight="1"/>
    <row r="863" ht="21" customHeight="1"/>
    <row r="864" ht="21" customHeight="1"/>
    <row r="865" ht="21" customHeight="1"/>
    <row r="866" ht="21" customHeight="1"/>
    <row r="867" ht="21" customHeight="1"/>
    <row r="868" ht="21" customHeight="1"/>
    <row r="869" ht="21" customHeight="1"/>
    <row r="870" ht="21" customHeight="1"/>
    <row r="871" ht="21" customHeight="1"/>
    <row r="872" ht="21" customHeight="1"/>
    <row r="873" ht="21" customHeight="1"/>
    <row r="874" ht="21" customHeight="1"/>
    <row r="875" ht="21" customHeight="1"/>
    <row r="876" ht="21" customHeight="1"/>
    <row r="877" ht="21" customHeight="1"/>
    <row r="878" ht="21" customHeight="1"/>
    <row r="879" ht="21" customHeight="1"/>
    <row r="880" ht="21" customHeight="1"/>
    <row r="881" ht="21" customHeight="1"/>
    <row r="882" ht="21" customHeight="1"/>
    <row r="883" ht="21" customHeight="1"/>
    <row r="884" ht="21" customHeight="1"/>
    <row r="885" ht="21" customHeight="1"/>
    <row r="886" ht="21" customHeight="1"/>
    <row r="887" ht="21" customHeight="1"/>
    <row r="888" ht="21" customHeight="1"/>
    <row r="889" ht="21" customHeight="1"/>
    <row r="890" ht="21" customHeight="1"/>
    <row r="891" ht="21" customHeight="1"/>
    <row r="892" ht="21" customHeight="1"/>
    <row r="893" ht="21" customHeight="1"/>
    <row r="894" ht="21" customHeight="1"/>
    <row r="895" ht="21" customHeight="1"/>
    <row r="896" ht="21" customHeight="1"/>
    <row r="897" ht="21" customHeight="1"/>
    <row r="898" ht="21" customHeight="1"/>
    <row r="899" ht="21" customHeight="1"/>
    <row r="900" ht="21" customHeight="1"/>
    <row r="901" ht="21" customHeight="1"/>
    <row r="902" ht="21" customHeight="1"/>
    <row r="903" ht="21" customHeight="1"/>
    <row r="904" ht="21" customHeight="1"/>
    <row r="905" ht="21" customHeight="1"/>
    <row r="906" ht="21" customHeight="1"/>
    <row r="907" ht="21" customHeight="1"/>
    <row r="908" ht="21" customHeight="1"/>
    <row r="909" ht="21" customHeight="1"/>
    <row r="910" ht="21" customHeight="1"/>
    <row r="911" ht="21" customHeight="1"/>
    <row r="912" ht="21" customHeight="1"/>
    <row r="913" ht="21" customHeight="1"/>
    <row r="914" ht="21" customHeight="1"/>
    <row r="915" ht="21" customHeight="1"/>
    <row r="916" ht="21" customHeight="1"/>
    <row r="917" ht="21" customHeight="1"/>
    <row r="918" ht="21" customHeight="1"/>
    <row r="919" ht="21" customHeight="1"/>
    <row r="920" ht="21" customHeight="1"/>
    <row r="921" ht="21" customHeight="1"/>
    <row r="922" ht="21" customHeight="1"/>
    <row r="923" ht="21" customHeight="1"/>
    <row r="924" ht="21" customHeight="1"/>
    <row r="925" ht="21" customHeight="1"/>
    <row r="926" ht="21" customHeight="1"/>
    <row r="927" ht="21" customHeight="1"/>
    <row r="928" ht="21" customHeight="1"/>
    <row r="929" ht="21" customHeight="1"/>
    <row r="930" ht="21" customHeight="1"/>
    <row r="931" ht="21" customHeight="1"/>
    <row r="932" ht="21" customHeight="1"/>
    <row r="933" ht="21" customHeight="1"/>
    <row r="934" ht="21" customHeight="1"/>
    <row r="935" ht="21" customHeight="1"/>
    <row r="936" ht="21" customHeight="1"/>
    <row r="937" ht="21" customHeight="1"/>
    <row r="938" ht="21" customHeight="1"/>
    <row r="939" ht="21" customHeight="1"/>
    <row r="940" ht="21" customHeight="1"/>
    <row r="941" ht="21" customHeight="1"/>
    <row r="942" ht="21" customHeight="1"/>
    <row r="943" ht="21" customHeight="1"/>
    <row r="944" ht="21" customHeight="1"/>
    <row r="945" ht="21" customHeight="1"/>
    <row r="946" ht="21" customHeight="1"/>
    <row r="947" ht="21" customHeight="1"/>
    <row r="948" ht="21" customHeight="1"/>
    <row r="949" ht="21" customHeight="1"/>
    <row r="950" ht="21" customHeight="1"/>
    <row r="951" ht="21" customHeight="1"/>
    <row r="952" ht="21" customHeight="1"/>
    <row r="953" ht="21" customHeight="1"/>
    <row r="954" ht="21" customHeight="1"/>
    <row r="955" ht="21" customHeight="1"/>
    <row r="956" ht="21" customHeight="1"/>
    <row r="957" ht="21" customHeight="1"/>
    <row r="958" ht="21" customHeight="1"/>
    <row r="959" ht="21" customHeight="1"/>
    <row r="960" ht="21" customHeight="1"/>
    <row r="961" ht="21" customHeight="1"/>
    <row r="962" ht="21" customHeight="1"/>
    <row r="963" ht="21" customHeight="1"/>
    <row r="964" ht="21" customHeight="1"/>
    <row r="965" ht="21" customHeight="1"/>
    <row r="966" ht="21" customHeight="1"/>
    <row r="967" ht="21" customHeight="1"/>
    <row r="968" ht="21" customHeight="1"/>
    <row r="969" ht="21" customHeight="1"/>
    <row r="970" ht="21" customHeight="1"/>
    <row r="971" ht="21" customHeight="1"/>
    <row r="972" ht="21" customHeight="1"/>
    <row r="973" ht="21" customHeight="1"/>
    <row r="974" ht="21" customHeight="1"/>
    <row r="975" ht="21" customHeight="1"/>
    <row r="976" ht="21" customHeight="1"/>
    <row r="977" ht="21" customHeight="1"/>
    <row r="978" ht="21" customHeight="1"/>
    <row r="979" ht="21" customHeight="1"/>
    <row r="980" ht="21" customHeight="1"/>
    <row r="981" ht="21" customHeight="1"/>
    <row r="982" ht="21" customHeight="1"/>
    <row r="983" ht="21" customHeight="1"/>
    <row r="984" ht="21" customHeight="1"/>
    <row r="985" ht="21" customHeight="1"/>
    <row r="986" ht="21" customHeight="1"/>
    <row r="987" ht="21" customHeight="1"/>
    <row r="988" ht="21" customHeight="1"/>
    <row r="989" ht="21" customHeight="1"/>
    <row r="990" ht="21" customHeight="1"/>
    <row r="991" ht="21" customHeight="1"/>
    <row r="992" ht="21" customHeight="1"/>
    <row r="993" ht="21" customHeight="1"/>
    <row r="994" ht="21" customHeight="1"/>
    <row r="995" ht="21" customHeight="1"/>
    <row r="996" ht="21" customHeight="1"/>
    <row r="997" ht="21" customHeight="1"/>
    <row r="998" ht="21" customHeight="1"/>
    <row r="999" ht="21" customHeight="1"/>
    <row r="1000" ht="21" customHeight="1"/>
  </sheetData>
  <mergeCells count="11">
    <mergeCell ref="A1:K1"/>
    <mergeCell ref="A22:K22"/>
    <mergeCell ref="A32:K32"/>
    <mergeCell ref="G3:K6"/>
    <mergeCell ref="B23:K23"/>
    <mergeCell ref="B24:K24"/>
    <mergeCell ref="B25:K25"/>
    <mergeCell ref="B26:K26"/>
    <mergeCell ref="B27:K27"/>
    <mergeCell ref="B28:K28"/>
    <mergeCell ref="B29:K29"/>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2" workbookViewId="0"/>
  </sheetViews>
  <sheetFormatPr baseColWidth="10" defaultColWidth="12.6640625" defaultRowHeight="15"/>
  <cols>
    <col min="1" max="1" width="16" customWidth="1"/>
    <col min="2" max="2" width="10" customWidth="1"/>
    <col min="3" max="3" width="28" customWidth="1"/>
    <col min="4" max="4" width="12" customWidth="1"/>
    <col min="5" max="5" width="26" customWidth="1"/>
    <col min="6" max="6" width="12" customWidth="1"/>
    <col min="7" max="7" width="28" customWidth="1"/>
    <col min="8" max="8" width="42" customWidth="1"/>
    <col min="9" max="9" width="38" customWidth="1"/>
    <col min="10" max="10" width="52" customWidth="1"/>
    <col min="11" max="11" width="34" customWidth="1"/>
    <col min="12" max="13" width="44" customWidth="1"/>
    <col min="14" max="14" width="12" customWidth="1"/>
    <col min="15" max="15" width="10" customWidth="1"/>
    <col min="16" max="16" width="22" customWidth="1"/>
    <col min="17" max="17" width="16" customWidth="1"/>
    <col min="18" max="18" width="11.5" customWidth="1"/>
    <col min="19" max="19" width="12" customWidth="1"/>
    <col min="20" max="20" width="36" customWidth="1"/>
    <col min="21" max="21" width="30" customWidth="1"/>
    <col min="22" max="22" width="42" customWidth="1"/>
    <col min="23" max="26" width="8.6640625" customWidth="1"/>
  </cols>
  <sheetData>
    <row r="1" spans="1:26" ht="42" customHeight="1">
      <c r="A1" s="2" t="s">
        <v>62</v>
      </c>
      <c r="B1" s="2" t="s">
        <v>17</v>
      </c>
      <c r="C1" s="2" t="s">
        <v>18</v>
      </c>
      <c r="D1" s="2" t="s">
        <v>63</v>
      </c>
      <c r="E1" s="2" t="s">
        <v>64</v>
      </c>
      <c r="F1" s="2" t="s">
        <v>65</v>
      </c>
      <c r="G1" s="2" t="s">
        <v>66</v>
      </c>
      <c r="H1" s="2" t="s">
        <v>67</v>
      </c>
      <c r="I1" s="2" t="s">
        <v>68</v>
      </c>
      <c r="J1" s="2" t="s">
        <v>69</v>
      </c>
      <c r="K1" s="2" t="s">
        <v>70</v>
      </c>
      <c r="L1" s="2" t="s">
        <v>71</v>
      </c>
      <c r="M1" s="2" t="s">
        <v>72</v>
      </c>
      <c r="N1" s="2" t="s">
        <v>73</v>
      </c>
      <c r="O1" s="2" t="s">
        <v>74</v>
      </c>
      <c r="P1" s="2" t="s">
        <v>75</v>
      </c>
      <c r="Q1" s="2" t="s">
        <v>76</v>
      </c>
      <c r="R1" s="2" t="s">
        <v>77</v>
      </c>
      <c r="S1" s="2" t="s">
        <v>78</v>
      </c>
      <c r="T1" s="2" t="s">
        <v>79</v>
      </c>
      <c r="U1" s="2" t="s">
        <v>80</v>
      </c>
      <c r="V1" s="2" t="s">
        <v>81</v>
      </c>
    </row>
    <row r="2" spans="1:26" ht="128" customHeight="1">
      <c r="A2" s="5" t="s">
        <v>82</v>
      </c>
      <c r="B2" s="5" t="s">
        <v>28</v>
      </c>
      <c r="C2" s="5" t="s">
        <v>29</v>
      </c>
      <c r="D2" s="5" t="s">
        <v>83</v>
      </c>
      <c r="E2" s="5" t="s">
        <v>84</v>
      </c>
      <c r="F2" s="5" t="s">
        <v>85</v>
      </c>
      <c r="G2" s="5" t="s">
        <v>86</v>
      </c>
      <c r="H2" s="5" t="s">
        <v>87</v>
      </c>
      <c r="I2" s="5" t="s">
        <v>88</v>
      </c>
      <c r="J2" s="5" t="s">
        <v>89</v>
      </c>
      <c r="K2" s="6" t="s">
        <v>613</v>
      </c>
      <c r="L2" s="5" t="s">
        <v>90</v>
      </c>
      <c r="M2" s="5"/>
      <c r="N2" s="5" t="s">
        <v>25</v>
      </c>
      <c r="O2" s="5" t="s">
        <v>91</v>
      </c>
      <c r="P2" s="5" t="s">
        <v>92</v>
      </c>
      <c r="Q2" s="5" t="s">
        <v>93</v>
      </c>
      <c r="R2" s="5" t="s">
        <v>94</v>
      </c>
      <c r="S2" s="5"/>
      <c r="T2" s="5"/>
      <c r="U2" s="5" t="s">
        <v>95</v>
      </c>
      <c r="V2" s="5" t="s">
        <v>96</v>
      </c>
      <c r="W2" s="7"/>
      <c r="X2" s="7"/>
      <c r="Y2" s="7"/>
      <c r="Z2" s="7"/>
    </row>
    <row r="3" spans="1:26" ht="128" customHeight="1">
      <c r="A3" s="5" t="s">
        <v>97</v>
      </c>
      <c r="B3" s="5" t="s">
        <v>28</v>
      </c>
      <c r="C3" s="5" t="s">
        <v>29</v>
      </c>
      <c r="D3" s="5" t="s">
        <v>83</v>
      </c>
      <c r="E3" s="5" t="s">
        <v>84</v>
      </c>
      <c r="F3" s="5" t="s">
        <v>98</v>
      </c>
      <c r="G3" s="5" t="s">
        <v>99</v>
      </c>
      <c r="H3" s="5" t="s">
        <v>100</v>
      </c>
      <c r="I3" s="5" t="s">
        <v>101</v>
      </c>
      <c r="J3" s="5" t="s">
        <v>102</v>
      </c>
      <c r="K3" s="5" t="s">
        <v>614</v>
      </c>
      <c r="L3" s="5" t="s">
        <v>103</v>
      </c>
      <c r="M3" s="5"/>
      <c r="N3" s="5" t="s">
        <v>25</v>
      </c>
      <c r="O3" s="5" t="s">
        <v>91</v>
      </c>
      <c r="P3" s="5" t="s">
        <v>104</v>
      </c>
      <c r="Q3" s="5" t="s">
        <v>93</v>
      </c>
      <c r="R3" s="5" t="s">
        <v>105</v>
      </c>
      <c r="S3" s="5"/>
      <c r="T3" s="5"/>
      <c r="U3" s="5" t="s">
        <v>106</v>
      </c>
      <c r="V3" s="5" t="s">
        <v>96</v>
      </c>
      <c r="W3" s="7"/>
      <c r="X3" s="7"/>
      <c r="Y3" s="7"/>
      <c r="Z3" s="7"/>
    </row>
    <row r="4" spans="1:26" ht="128" customHeight="1">
      <c r="A4" s="5" t="s">
        <v>107</v>
      </c>
      <c r="B4" s="5" t="s">
        <v>28</v>
      </c>
      <c r="C4" s="5" t="s">
        <v>29</v>
      </c>
      <c r="D4" s="5" t="s">
        <v>83</v>
      </c>
      <c r="E4" s="5" t="s">
        <v>84</v>
      </c>
      <c r="F4" s="5" t="s">
        <v>108</v>
      </c>
      <c r="G4" s="5" t="s">
        <v>109</v>
      </c>
      <c r="H4" s="5" t="s">
        <v>110</v>
      </c>
      <c r="I4" s="5" t="s">
        <v>111</v>
      </c>
      <c r="J4" s="5" t="s">
        <v>112</v>
      </c>
      <c r="K4" s="5" t="s">
        <v>615</v>
      </c>
      <c r="L4" s="5" t="s">
        <v>113</v>
      </c>
      <c r="M4" s="5"/>
      <c r="N4" s="5" t="s">
        <v>25</v>
      </c>
      <c r="O4" s="5" t="s">
        <v>114</v>
      </c>
      <c r="P4" s="5" t="s">
        <v>115</v>
      </c>
      <c r="Q4" s="5" t="s">
        <v>116</v>
      </c>
      <c r="R4" s="5" t="s">
        <v>117</v>
      </c>
      <c r="S4" s="5"/>
      <c r="T4" s="5"/>
      <c r="U4" s="5" t="s">
        <v>118</v>
      </c>
      <c r="V4" s="5" t="s">
        <v>96</v>
      </c>
      <c r="W4" s="7"/>
      <c r="X4" s="7"/>
      <c r="Y4" s="7"/>
      <c r="Z4" s="7"/>
    </row>
    <row r="5" spans="1:26" ht="128" customHeight="1">
      <c r="A5" s="5" t="s">
        <v>119</v>
      </c>
      <c r="B5" s="5" t="s">
        <v>28</v>
      </c>
      <c r="C5" s="5" t="s">
        <v>29</v>
      </c>
      <c r="D5" s="5" t="s">
        <v>83</v>
      </c>
      <c r="E5" s="5" t="s">
        <v>84</v>
      </c>
      <c r="F5" s="5" t="s">
        <v>108</v>
      </c>
      <c r="G5" s="5" t="s">
        <v>109</v>
      </c>
      <c r="H5" s="5" t="s">
        <v>120</v>
      </c>
      <c r="I5" s="5" t="s">
        <v>111</v>
      </c>
      <c r="J5" s="5" t="s">
        <v>121</v>
      </c>
      <c r="K5" s="5" t="s">
        <v>616</v>
      </c>
      <c r="L5" s="5" t="s">
        <v>113</v>
      </c>
      <c r="M5" s="5"/>
      <c r="N5" s="5" t="s">
        <v>25</v>
      </c>
      <c r="O5" s="5" t="s">
        <v>114</v>
      </c>
      <c r="P5" s="5" t="s">
        <v>115</v>
      </c>
      <c r="Q5" s="5" t="s">
        <v>116</v>
      </c>
      <c r="R5" s="5" t="s">
        <v>117</v>
      </c>
      <c r="S5" s="5"/>
      <c r="T5" s="5"/>
      <c r="U5" s="5" t="s">
        <v>118</v>
      </c>
      <c r="V5" s="5" t="s">
        <v>96</v>
      </c>
      <c r="W5" s="7"/>
      <c r="X5" s="7"/>
      <c r="Y5" s="7"/>
      <c r="Z5" s="7"/>
    </row>
    <row r="6" spans="1:26" ht="128" customHeight="1">
      <c r="A6" s="5" t="s">
        <v>122</v>
      </c>
      <c r="B6" s="5" t="s">
        <v>28</v>
      </c>
      <c r="C6" s="5" t="s">
        <v>29</v>
      </c>
      <c r="D6" s="5" t="s">
        <v>83</v>
      </c>
      <c r="E6" s="5" t="s">
        <v>84</v>
      </c>
      <c r="F6" s="5" t="s">
        <v>108</v>
      </c>
      <c r="G6" s="5" t="s">
        <v>123</v>
      </c>
      <c r="H6" s="5" t="s">
        <v>124</v>
      </c>
      <c r="I6" s="5" t="s">
        <v>111</v>
      </c>
      <c r="J6" s="5" t="s">
        <v>125</v>
      </c>
      <c r="K6" s="5" t="s">
        <v>617</v>
      </c>
      <c r="L6" s="5" t="s">
        <v>126</v>
      </c>
      <c r="M6" s="5"/>
      <c r="N6" s="5" t="s">
        <v>25</v>
      </c>
      <c r="O6" s="5" t="s">
        <v>114</v>
      </c>
      <c r="P6" s="5" t="s">
        <v>115</v>
      </c>
      <c r="Q6" s="5" t="s">
        <v>116</v>
      </c>
      <c r="R6" s="5" t="s">
        <v>117</v>
      </c>
      <c r="S6" s="5"/>
      <c r="T6" s="5"/>
      <c r="U6" s="5" t="s">
        <v>118</v>
      </c>
      <c r="V6" s="5" t="s">
        <v>96</v>
      </c>
      <c r="W6" s="7"/>
      <c r="X6" s="7"/>
      <c r="Y6" s="7"/>
      <c r="Z6" s="7"/>
    </row>
    <row r="7" spans="1:26" ht="128" customHeight="1">
      <c r="A7" s="5" t="s">
        <v>127</v>
      </c>
      <c r="B7" s="5" t="s">
        <v>28</v>
      </c>
      <c r="C7" s="5" t="s">
        <v>29</v>
      </c>
      <c r="D7" s="5" t="s">
        <v>128</v>
      </c>
      <c r="E7" s="5" t="s">
        <v>129</v>
      </c>
      <c r="F7" s="5" t="s">
        <v>130</v>
      </c>
      <c r="G7" s="5" t="s">
        <v>131</v>
      </c>
      <c r="H7" s="5" t="s">
        <v>132</v>
      </c>
      <c r="I7" s="5" t="s">
        <v>133</v>
      </c>
      <c r="J7" s="5" t="s">
        <v>134</v>
      </c>
      <c r="K7" s="5" t="s">
        <v>614</v>
      </c>
      <c r="L7" s="5" t="s">
        <v>135</v>
      </c>
      <c r="M7" s="5"/>
      <c r="N7" s="5" t="s">
        <v>25</v>
      </c>
      <c r="O7" s="5" t="s">
        <v>91</v>
      </c>
      <c r="P7" s="5" t="s">
        <v>92</v>
      </c>
      <c r="Q7" s="5" t="s">
        <v>93</v>
      </c>
      <c r="R7" s="5" t="s">
        <v>94</v>
      </c>
      <c r="S7" s="5"/>
      <c r="T7" s="5"/>
      <c r="U7" s="5" t="s">
        <v>136</v>
      </c>
      <c r="V7" s="5" t="s">
        <v>96</v>
      </c>
      <c r="W7" s="7"/>
      <c r="X7" s="7"/>
      <c r="Y7" s="7"/>
      <c r="Z7" s="7"/>
    </row>
    <row r="8" spans="1:26" ht="128" customHeight="1">
      <c r="A8" s="5" t="s">
        <v>137</v>
      </c>
      <c r="B8" s="5" t="s">
        <v>28</v>
      </c>
      <c r="C8" s="5" t="s">
        <v>29</v>
      </c>
      <c r="D8" s="5" t="s">
        <v>128</v>
      </c>
      <c r="E8" s="5" t="s">
        <v>129</v>
      </c>
      <c r="F8" s="5" t="s">
        <v>138</v>
      </c>
      <c r="G8" s="5" t="s">
        <v>139</v>
      </c>
      <c r="H8" s="5" t="s">
        <v>140</v>
      </c>
      <c r="I8" s="5" t="s">
        <v>141</v>
      </c>
      <c r="J8" s="5" t="s">
        <v>142</v>
      </c>
      <c r="K8" s="5" t="s">
        <v>618</v>
      </c>
      <c r="L8" s="5" t="s">
        <v>143</v>
      </c>
      <c r="M8" s="5"/>
      <c r="N8" s="5" t="s">
        <v>25</v>
      </c>
      <c r="O8" s="5" t="s">
        <v>91</v>
      </c>
      <c r="P8" s="5" t="s">
        <v>104</v>
      </c>
      <c r="Q8" s="5" t="s">
        <v>93</v>
      </c>
      <c r="R8" s="5" t="s">
        <v>105</v>
      </c>
      <c r="S8" s="5"/>
      <c r="T8" s="5"/>
      <c r="U8" s="5" t="s">
        <v>144</v>
      </c>
      <c r="V8" s="5" t="s">
        <v>96</v>
      </c>
      <c r="W8" s="7"/>
      <c r="X8" s="7"/>
      <c r="Y8" s="7"/>
      <c r="Z8" s="7"/>
    </row>
    <row r="9" spans="1:26" ht="128" customHeight="1">
      <c r="A9" s="5" t="s">
        <v>145</v>
      </c>
      <c r="B9" s="5" t="s">
        <v>28</v>
      </c>
      <c r="C9" s="5" t="s">
        <v>29</v>
      </c>
      <c r="D9" s="5" t="s">
        <v>128</v>
      </c>
      <c r="E9" s="5" t="s">
        <v>129</v>
      </c>
      <c r="F9" s="5" t="s">
        <v>138</v>
      </c>
      <c r="G9" s="5" t="s">
        <v>139</v>
      </c>
      <c r="H9" s="5" t="s">
        <v>146</v>
      </c>
      <c r="I9" s="5" t="s">
        <v>133</v>
      </c>
      <c r="J9" s="5" t="s">
        <v>147</v>
      </c>
      <c r="K9" s="5" t="s">
        <v>619</v>
      </c>
      <c r="L9" s="5" t="s">
        <v>143</v>
      </c>
      <c r="M9" s="5"/>
      <c r="N9" s="5" t="s">
        <v>25</v>
      </c>
      <c r="O9" s="5" t="s">
        <v>91</v>
      </c>
      <c r="P9" s="5" t="s">
        <v>104</v>
      </c>
      <c r="Q9" s="5" t="s">
        <v>116</v>
      </c>
      <c r="R9" s="5" t="s">
        <v>117</v>
      </c>
      <c r="S9" s="5"/>
      <c r="T9" s="5"/>
      <c r="U9" s="5" t="s">
        <v>144</v>
      </c>
      <c r="V9" s="5" t="s">
        <v>96</v>
      </c>
      <c r="W9" s="7"/>
      <c r="X9" s="7"/>
      <c r="Y9" s="7"/>
      <c r="Z9" s="7"/>
    </row>
    <row r="10" spans="1:26" ht="128" customHeight="1">
      <c r="A10" s="5" t="s">
        <v>148</v>
      </c>
      <c r="B10" s="5" t="s">
        <v>28</v>
      </c>
      <c r="C10" s="5" t="s">
        <v>29</v>
      </c>
      <c r="D10" s="5" t="s">
        <v>128</v>
      </c>
      <c r="E10" s="5" t="s">
        <v>129</v>
      </c>
      <c r="F10" s="5" t="s">
        <v>108</v>
      </c>
      <c r="G10" s="5" t="s">
        <v>149</v>
      </c>
      <c r="H10" s="5" t="s">
        <v>150</v>
      </c>
      <c r="I10" s="5" t="s">
        <v>111</v>
      </c>
      <c r="J10" s="5" t="s">
        <v>151</v>
      </c>
      <c r="K10" s="5" t="s">
        <v>620</v>
      </c>
      <c r="L10" s="5" t="s">
        <v>152</v>
      </c>
      <c r="M10" s="5"/>
      <c r="N10" s="5" t="s">
        <v>25</v>
      </c>
      <c r="O10" s="5" t="s">
        <v>114</v>
      </c>
      <c r="P10" s="5" t="s">
        <v>115</v>
      </c>
      <c r="Q10" s="5" t="s">
        <v>116</v>
      </c>
      <c r="R10" s="5" t="s">
        <v>117</v>
      </c>
      <c r="S10" s="5"/>
      <c r="T10" s="5"/>
      <c r="U10" s="5" t="s">
        <v>118</v>
      </c>
      <c r="V10" s="5" t="s">
        <v>96</v>
      </c>
      <c r="W10" s="7"/>
      <c r="X10" s="7"/>
      <c r="Y10" s="7"/>
      <c r="Z10" s="7"/>
    </row>
    <row r="11" spans="1:26" ht="128" customHeight="1">
      <c r="A11" s="5" t="s">
        <v>153</v>
      </c>
      <c r="B11" s="5" t="s">
        <v>28</v>
      </c>
      <c r="C11" s="5" t="s">
        <v>29</v>
      </c>
      <c r="D11" s="5" t="s">
        <v>128</v>
      </c>
      <c r="E11" s="5" t="s">
        <v>129</v>
      </c>
      <c r="F11" s="5" t="s">
        <v>108</v>
      </c>
      <c r="G11" s="5" t="s">
        <v>149</v>
      </c>
      <c r="H11" s="5" t="s">
        <v>154</v>
      </c>
      <c r="I11" s="5" t="s">
        <v>111</v>
      </c>
      <c r="J11" s="5" t="s">
        <v>155</v>
      </c>
      <c r="K11" s="5" t="s">
        <v>621</v>
      </c>
      <c r="L11" s="5" t="s">
        <v>152</v>
      </c>
      <c r="M11" s="5"/>
      <c r="N11" s="5" t="s">
        <v>25</v>
      </c>
      <c r="O11" s="5" t="s">
        <v>114</v>
      </c>
      <c r="P11" s="5" t="s">
        <v>115</v>
      </c>
      <c r="Q11" s="5" t="s">
        <v>116</v>
      </c>
      <c r="R11" s="5" t="s">
        <v>117</v>
      </c>
      <c r="S11" s="5"/>
      <c r="T11" s="5"/>
      <c r="U11" s="5" t="s">
        <v>118</v>
      </c>
      <c r="V11" s="5" t="s">
        <v>96</v>
      </c>
      <c r="W11" s="7"/>
      <c r="X11" s="7"/>
      <c r="Y11" s="7"/>
      <c r="Z11" s="7"/>
    </row>
    <row r="12" spans="1:26" ht="128" customHeight="1">
      <c r="A12" s="5" t="s">
        <v>156</v>
      </c>
      <c r="B12" s="5" t="s">
        <v>28</v>
      </c>
      <c r="C12" s="5" t="s">
        <v>29</v>
      </c>
      <c r="D12" s="5" t="s">
        <v>157</v>
      </c>
      <c r="E12" s="5" t="s">
        <v>158</v>
      </c>
      <c r="F12" s="5" t="s">
        <v>130</v>
      </c>
      <c r="G12" s="5" t="s">
        <v>159</v>
      </c>
      <c r="H12" s="5" t="s">
        <v>160</v>
      </c>
      <c r="I12" s="5" t="s">
        <v>161</v>
      </c>
      <c r="J12" s="5" t="s">
        <v>162</v>
      </c>
      <c r="K12" s="5" t="s">
        <v>614</v>
      </c>
      <c r="L12" s="5" t="s">
        <v>163</v>
      </c>
      <c r="M12" s="5"/>
      <c r="N12" s="5" t="s">
        <v>25</v>
      </c>
      <c r="O12" s="5" t="s">
        <v>91</v>
      </c>
      <c r="P12" s="5" t="s">
        <v>92</v>
      </c>
      <c r="Q12" s="5" t="s">
        <v>93</v>
      </c>
      <c r="R12" s="5" t="s">
        <v>94</v>
      </c>
      <c r="S12" s="5"/>
      <c r="T12" s="5"/>
      <c r="U12" s="5" t="s">
        <v>164</v>
      </c>
      <c r="V12" s="5" t="s">
        <v>96</v>
      </c>
      <c r="W12" s="7"/>
      <c r="X12" s="7"/>
      <c r="Y12" s="7"/>
      <c r="Z12" s="7"/>
    </row>
    <row r="13" spans="1:26" ht="128" customHeight="1">
      <c r="A13" s="5" t="s">
        <v>165</v>
      </c>
      <c r="B13" s="5" t="s">
        <v>28</v>
      </c>
      <c r="C13" s="5" t="s">
        <v>29</v>
      </c>
      <c r="D13" s="5" t="s">
        <v>166</v>
      </c>
      <c r="E13" s="5" t="s">
        <v>167</v>
      </c>
      <c r="F13" s="5" t="s">
        <v>130</v>
      </c>
      <c r="G13" s="5" t="s">
        <v>168</v>
      </c>
      <c r="H13" s="5" t="s">
        <v>169</v>
      </c>
      <c r="I13" s="5" t="s">
        <v>170</v>
      </c>
      <c r="J13" s="5" t="s">
        <v>171</v>
      </c>
      <c r="K13" s="5" t="s">
        <v>622</v>
      </c>
      <c r="L13" s="5" t="s">
        <v>172</v>
      </c>
      <c r="M13" s="5"/>
      <c r="N13" s="5" t="s">
        <v>25</v>
      </c>
      <c r="O13" s="5" t="s">
        <v>91</v>
      </c>
      <c r="P13" s="5" t="s">
        <v>92</v>
      </c>
      <c r="Q13" s="5" t="s">
        <v>93</v>
      </c>
      <c r="R13" s="5" t="s">
        <v>94</v>
      </c>
      <c r="S13" s="5"/>
      <c r="T13" s="5"/>
      <c r="U13" s="5" t="s">
        <v>173</v>
      </c>
      <c r="V13" s="5" t="s">
        <v>96</v>
      </c>
      <c r="W13" s="7"/>
      <c r="X13" s="7"/>
      <c r="Y13" s="7"/>
      <c r="Z13" s="7"/>
    </row>
    <row r="14" spans="1:26" ht="128" customHeight="1">
      <c r="A14" s="5" t="s">
        <v>174</v>
      </c>
      <c r="B14" s="5" t="s">
        <v>28</v>
      </c>
      <c r="C14" s="5" t="s">
        <v>29</v>
      </c>
      <c r="D14" s="5" t="s">
        <v>166</v>
      </c>
      <c r="E14" s="5" t="s">
        <v>167</v>
      </c>
      <c r="F14" s="5" t="s">
        <v>108</v>
      </c>
      <c r="G14" s="5" t="s">
        <v>175</v>
      </c>
      <c r="H14" s="5" t="s">
        <v>176</v>
      </c>
      <c r="I14" s="5" t="s">
        <v>177</v>
      </c>
      <c r="J14" s="5" t="s">
        <v>178</v>
      </c>
      <c r="K14" s="5" t="s">
        <v>623</v>
      </c>
      <c r="L14" s="5" t="s">
        <v>179</v>
      </c>
      <c r="M14" s="5"/>
      <c r="N14" s="5" t="s">
        <v>25</v>
      </c>
      <c r="O14" s="5" t="s">
        <v>91</v>
      </c>
      <c r="P14" s="5" t="s">
        <v>180</v>
      </c>
      <c r="Q14" s="5" t="s">
        <v>116</v>
      </c>
      <c r="R14" s="5" t="s">
        <v>117</v>
      </c>
      <c r="S14" s="5"/>
      <c r="T14" s="5"/>
      <c r="U14" s="5" t="s">
        <v>181</v>
      </c>
      <c r="V14" s="5" t="s">
        <v>96</v>
      </c>
      <c r="W14" s="7"/>
      <c r="X14" s="7"/>
      <c r="Y14" s="7"/>
      <c r="Z14" s="7"/>
    </row>
    <row r="21" ht="21" customHeight="1"/>
    <row r="22" ht="21" customHeight="1"/>
    <row r="23" ht="21" customHeight="1"/>
    <row r="24" ht="21" customHeight="1"/>
    <row r="25" ht="21" customHeight="1"/>
    <row r="26" ht="21" customHeight="1"/>
    <row r="27" ht="21" customHeight="1"/>
    <row r="28" ht="21" customHeight="1"/>
    <row r="29" ht="21" customHeight="1"/>
    <row r="30" ht="21" customHeight="1"/>
    <row r="31" ht="21" customHeight="1"/>
    <row r="32" ht="21" customHeight="1"/>
    <row r="33" ht="21" customHeight="1"/>
    <row r="34" ht="21" customHeight="1"/>
    <row r="35" ht="21" customHeight="1"/>
    <row r="36" ht="21" customHeight="1"/>
    <row r="37" ht="21" customHeight="1"/>
    <row r="38" ht="21" customHeight="1"/>
    <row r="39" ht="21" customHeight="1"/>
    <row r="40" ht="21" customHeight="1"/>
    <row r="41" ht="21" customHeight="1"/>
    <row r="42" ht="21" customHeight="1"/>
    <row r="43" ht="21" customHeight="1"/>
    <row r="44" ht="21" customHeight="1"/>
    <row r="45" ht="21" customHeight="1"/>
    <row r="46" ht="21" customHeight="1"/>
    <row r="47" ht="21" customHeight="1"/>
    <row r="48"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row r="350" ht="21" customHeight="1"/>
    <row r="351" ht="21" customHeight="1"/>
    <row r="352" ht="21" customHeight="1"/>
    <row r="353" ht="21" customHeight="1"/>
    <row r="354" ht="21" customHeight="1"/>
    <row r="355" ht="21" customHeight="1"/>
    <row r="356" ht="21" customHeight="1"/>
    <row r="357" ht="21" customHeight="1"/>
    <row r="358" ht="21" customHeight="1"/>
    <row r="359" ht="21" customHeight="1"/>
    <row r="360" ht="21" customHeight="1"/>
    <row r="361" ht="21" customHeight="1"/>
    <row r="362" ht="21" customHeight="1"/>
    <row r="363" ht="21" customHeight="1"/>
    <row r="364" ht="21" customHeight="1"/>
    <row r="365" ht="21" customHeight="1"/>
    <row r="366" ht="21" customHeight="1"/>
    <row r="367" ht="21" customHeight="1"/>
    <row r="368" ht="21" customHeight="1"/>
    <row r="369" ht="21" customHeight="1"/>
    <row r="370" ht="21" customHeight="1"/>
    <row r="371" ht="21" customHeight="1"/>
    <row r="372" ht="21" customHeight="1"/>
    <row r="373" ht="21" customHeight="1"/>
    <row r="374" ht="21" customHeight="1"/>
    <row r="375" ht="21" customHeight="1"/>
    <row r="376" ht="21" customHeight="1"/>
    <row r="377" ht="21" customHeight="1"/>
    <row r="378" ht="21" customHeight="1"/>
    <row r="379" ht="21" customHeight="1"/>
    <row r="380" ht="21" customHeight="1"/>
    <row r="381" ht="21" customHeight="1"/>
    <row r="382" ht="21" customHeight="1"/>
    <row r="383" ht="21" customHeight="1"/>
    <row r="384" ht="21" customHeight="1"/>
    <row r="385" ht="21" customHeight="1"/>
    <row r="386" ht="21" customHeight="1"/>
    <row r="387" ht="21" customHeight="1"/>
    <row r="388" ht="21" customHeight="1"/>
    <row r="389" ht="21" customHeight="1"/>
    <row r="390" ht="21" customHeight="1"/>
    <row r="391" ht="21" customHeight="1"/>
    <row r="392" ht="21" customHeight="1"/>
    <row r="393" ht="21" customHeight="1"/>
    <row r="394" ht="21" customHeight="1"/>
    <row r="395" ht="21" customHeight="1"/>
    <row r="396" ht="21" customHeight="1"/>
    <row r="397" ht="21" customHeight="1"/>
    <row r="398" ht="21" customHeight="1"/>
    <row r="399" ht="21" customHeight="1"/>
    <row r="400" ht="21" customHeight="1"/>
    <row r="401" ht="21" customHeight="1"/>
    <row r="402" ht="21" customHeight="1"/>
    <row r="403" ht="21" customHeight="1"/>
    <row r="404" ht="21" customHeight="1"/>
    <row r="405" ht="21" customHeight="1"/>
    <row r="406" ht="21" customHeight="1"/>
    <row r="407" ht="21" customHeight="1"/>
    <row r="408" ht="21" customHeight="1"/>
    <row r="409" ht="21" customHeight="1"/>
    <row r="410" ht="21" customHeight="1"/>
    <row r="411" ht="21" customHeight="1"/>
    <row r="412" ht="21" customHeight="1"/>
    <row r="413" ht="21" customHeight="1"/>
    <row r="414" ht="21" customHeight="1"/>
    <row r="415" ht="21" customHeight="1"/>
    <row r="416" ht="21" customHeight="1"/>
    <row r="417" ht="21" customHeight="1"/>
    <row r="418" ht="21" customHeight="1"/>
    <row r="419" ht="21" customHeight="1"/>
    <row r="420" ht="21" customHeight="1"/>
    <row r="421" ht="21" customHeight="1"/>
    <row r="422" ht="21" customHeight="1"/>
    <row r="423" ht="21" customHeight="1"/>
    <row r="424" ht="21" customHeight="1"/>
    <row r="425" ht="21" customHeight="1"/>
    <row r="426" ht="21" customHeight="1"/>
    <row r="427" ht="21" customHeight="1"/>
    <row r="428" ht="21" customHeight="1"/>
    <row r="429" ht="21" customHeight="1"/>
    <row r="430" ht="21" customHeight="1"/>
    <row r="431" ht="21" customHeight="1"/>
    <row r="432" ht="21" customHeight="1"/>
    <row r="433" ht="21" customHeight="1"/>
    <row r="434" ht="21" customHeight="1"/>
    <row r="435" ht="21" customHeight="1"/>
    <row r="436" ht="21" customHeight="1"/>
    <row r="437" ht="21" customHeight="1"/>
    <row r="438" ht="21" customHeight="1"/>
    <row r="439" ht="21" customHeight="1"/>
    <row r="440" ht="21" customHeight="1"/>
    <row r="441" ht="21" customHeight="1"/>
    <row r="442" ht="21" customHeight="1"/>
    <row r="443" ht="21" customHeight="1"/>
    <row r="444" ht="21" customHeight="1"/>
    <row r="445" ht="21" customHeight="1"/>
    <row r="446" ht="21" customHeight="1"/>
    <row r="447" ht="21" customHeight="1"/>
    <row r="448" ht="21" customHeight="1"/>
    <row r="449" ht="21" customHeight="1"/>
    <row r="450" ht="21" customHeight="1"/>
    <row r="451" ht="21" customHeight="1"/>
    <row r="452" ht="21" customHeight="1"/>
    <row r="453" ht="21" customHeight="1"/>
    <row r="454" ht="21" customHeight="1"/>
    <row r="455" ht="21" customHeight="1"/>
    <row r="456" ht="21" customHeight="1"/>
    <row r="457" ht="21" customHeight="1"/>
    <row r="458" ht="21" customHeight="1"/>
    <row r="459" ht="21" customHeight="1"/>
    <row r="460" ht="21" customHeight="1"/>
    <row r="461" ht="21" customHeight="1"/>
    <row r="462" ht="21" customHeight="1"/>
    <row r="463" ht="21" customHeight="1"/>
    <row r="464" ht="21" customHeight="1"/>
    <row r="465" ht="21" customHeight="1"/>
    <row r="466" ht="21" customHeight="1"/>
    <row r="467" ht="21" customHeight="1"/>
    <row r="468" ht="21" customHeight="1"/>
    <row r="469" ht="21" customHeight="1"/>
    <row r="470" ht="21" customHeight="1"/>
    <row r="471" ht="21" customHeight="1"/>
    <row r="472" ht="21" customHeight="1"/>
    <row r="473" ht="21" customHeight="1"/>
    <row r="474" ht="21" customHeight="1"/>
    <row r="475" ht="21" customHeight="1"/>
    <row r="476" ht="21" customHeight="1"/>
    <row r="477" ht="21" customHeight="1"/>
    <row r="478" ht="21" customHeight="1"/>
    <row r="479" ht="21" customHeight="1"/>
    <row r="480" ht="21" customHeight="1"/>
    <row r="481" ht="21" customHeight="1"/>
    <row r="482" ht="21" customHeight="1"/>
    <row r="483" ht="21" customHeight="1"/>
    <row r="484" ht="21" customHeight="1"/>
    <row r="485" ht="21" customHeight="1"/>
    <row r="486" ht="21" customHeight="1"/>
    <row r="487" ht="21" customHeight="1"/>
    <row r="488" ht="21" customHeight="1"/>
    <row r="489" ht="21" customHeight="1"/>
    <row r="490" ht="21" customHeight="1"/>
    <row r="491" ht="21" customHeight="1"/>
    <row r="492" ht="21" customHeight="1"/>
    <row r="493" ht="21" customHeight="1"/>
    <row r="494" ht="21" customHeight="1"/>
    <row r="495" ht="21" customHeight="1"/>
    <row r="496" ht="21" customHeight="1"/>
    <row r="497" ht="21" customHeight="1"/>
    <row r="498" ht="21" customHeight="1"/>
    <row r="499" ht="21" customHeight="1"/>
    <row r="500" ht="21" customHeight="1"/>
    <row r="501" ht="21" customHeight="1"/>
    <row r="502" ht="21" customHeight="1"/>
    <row r="503" ht="21" customHeight="1"/>
    <row r="504" ht="21" customHeight="1"/>
    <row r="505" ht="21" customHeight="1"/>
    <row r="506" ht="21" customHeight="1"/>
    <row r="507" ht="21" customHeight="1"/>
    <row r="508" ht="21" customHeight="1"/>
    <row r="509" ht="21" customHeight="1"/>
    <row r="510" ht="21" customHeight="1"/>
    <row r="511" ht="21" customHeight="1"/>
    <row r="512" ht="21" customHeight="1"/>
    <row r="513" ht="21" customHeight="1"/>
    <row r="514" ht="21" customHeight="1"/>
    <row r="515" ht="21" customHeight="1"/>
    <row r="516" ht="21" customHeight="1"/>
    <row r="517" ht="21" customHeight="1"/>
    <row r="518" ht="21" customHeight="1"/>
    <row r="519" ht="21" customHeight="1"/>
    <row r="520" ht="21" customHeight="1"/>
    <row r="521" ht="21" customHeight="1"/>
    <row r="522" ht="21" customHeight="1"/>
    <row r="523" ht="21" customHeight="1"/>
    <row r="524" ht="21" customHeight="1"/>
    <row r="525" ht="21" customHeight="1"/>
    <row r="526" ht="21" customHeight="1"/>
    <row r="527" ht="21" customHeight="1"/>
    <row r="528" ht="21" customHeight="1"/>
    <row r="529" ht="21" customHeight="1"/>
    <row r="530" ht="21" customHeight="1"/>
    <row r="531" ht="21" customHeight="1"/>
    <row r="532" ht="21" customHeight="1"/>
    <row r="533" ht="21" customHeight="1"/>
    <row r="534" ht="21" customHeight="1"/>
    <row r="535" ht="21" customHeight="1"/>
    <row r="536" ht="21" customHeight="1"/>
    <row r="537" ht="21" customHeight="1"/>
    <row r="538" ht="21" customHeight="1"/>
    <row r="539" ht="21" customHeight="1"/>
    <row r="540" ht="21" customHeight="1"/>
    <row r="541" ht="21" customHeight="1"/>
    <row r="542" ht="21" customHeight="1"/>
    <row r="543" ht="21" customHeight="1"/>
    <row r="544" ht="21" customHeight="1"/>
    <row r="545" ht="21" customHeight="1"/>
    <row r="546" ht="21" customHeight="1"/>
    <row r="547" ht="21" customHeight="1"/>
    <row r="548" ht="21" customHeight="1"/>
    <row r="549" ht="21" customHeight="1"/>
    <row r="550" ht="21" customHeight="1"/>
    <row r="551" ht="21" customHeight="1"/>
    <row r="552" ht="21" customHeight="1"/>
    <row r="553" ht="21" customHeight="1"/>
    <row r="554" ht="21" customHeight="1"/>
    <row r="555" ht="21" customHeight="1"/>
    <row r="556" ht="21" customHeight="1"/>
    <row r="557" ht="21" customHeight="1"/>
    <row r="558" ht="21" customHeight="1"/>
    <row r="559" ht="21" customHeight="1"/>
    <row r="560" ht="21" customHeight="1"/>
    <row r="561" ht="21" customHeight="1"/>
    <row r="562" ht="21" customHeight="1"/>
    <row r="563" ht="21" customHeight="1"/>
    <row r="564" ht="21" customHeight="1"/>
    <row r="565" ht="21" customHeight="1"/>
    <row r="566" ht="21" customHeight="1"/>
    <row r="567" ht="21" customHeight="1"/>
    <row r="568" ht="21" customHeight="1"/>
    <row r="569" ht="21" customHeight="1"/>
    <row r="570" ht="21" customHeight="1"/>
    <row r="571" ht="21" customHeight="1"/>
    <row r="572" ht="21" customHeight="1"/>
    <row r="573" ht="21" customHeight="1"/>
    <row r="574" ht="21" customHeight="1"/>
    <row r="575" ht="21" customHeight="1"/>
    <row r="576" ht="21" customHeight="1"/>
    <row r="577" ht="21" customHeight="1"/>
    <row r="578" ht="21" customHeight="1"/>
    <row r="579" ht="21" customHeight="1"/>
    <row r="580" ht="21" customHeight="1"/>
    <row r="581" ht="21" customHeight="1"/>
    <row r="582" ht="21" customHeight="1"/>
    <row r="583" ht="21" customHeight="1"/>
    <row r="584" ht="21" customHeight="1"/>
    <row r="585" ht="21" customHeight="1"/>
    <row r="586" ht="21" customHeight="1"/>
    <row r="587" ht="21" customHeight="1"/>
    <row r="588" ht="21" customHeight="1"/>
    <row r="589" ht="21" customHeight="1"/>
    <row r="590" ht="21" customHeight="1"/>
    <row r="591" ht="21" customHeight="1"/>
    <row r="592" ht="21" customHeight="1"/>
    <row r="593" ht="21" customHeight="1"/>
    <row r="594" ht="21" customHeight="1"/>
    <row r="595" ht="21" customHeight="1"/>
    <row r="596" ht="21" customHeight="1"/>
    <row r="597" ht="21" customHeight="1"/>
    <row r="598" ht="21" customHeight="1"/>
    <row r="599" ht="21" customHeight="1"/>
    <row r="600" ht="21" customHeight="1"/>
    <row r="601" ht="21" customHeight="1"/>
    <row r="602" ht="21" customHeight="1"/>
    <row r="603" ht="21" customHeight="1"/>
    <row r="604" ht="21" customHeight="1"/>
    <row r="605" ht="21" customHeight="1"/>
    <row r="606" ht="21" customHeight="1"/>
    <row r="607" ht="21" customHeight="1"/>
    <row r="608" ht="21" customHeight="1"/>
    <row r="609" ht="21" customHeight="1"/>
    <row r="610" ht="21" customHeight="1"/>
    <row r="611" ht="21" customHeight="1"/>
    <row r="612" ht="21" customHeight="1"/>
    <row r="613" ht="21" customHeight="1"/>
    <row r="614" ht="21" customHeight="1"/>
    <row r="615" ht="21" customHeight="1"/>
    <row r="616" ht="21" customHeight="1"/>
    <row r="617" ht="21" customHeight="1"/>
    <row r="618" ht="21" customHeight="1"/>
    <row r="619" ht="21" customHeight="1"/>
    <row r="620" ht="21" customHeight="1"/>
    <row r="621" ht="21" customHeight="1"/>
    <row r="622" ht="21" customHeight="1"/>
    <row r="623" ht="21" customHeight="1"/>
    <row r="624" ht="21" customHeight="1"/>
    <row r="625" ht="21" customHeight="1"/>
    <row r="626" ht="21" customHeight="1"/>
    <row r="627" ht="21" customHeight="1"/>
    <row r="628" ht="21" customHeight="1"/>
    <row r="629" ht="21" customHeight="1"/>
    <row r="630" ht="21" customHeight="1"/>
    <row r="631" ht="21" customHeight="1"/>
    <row r="632" ht="21" customHeight="1"/>
    <row r="633" ht="21" customHeight="1"/>
    <row r="634" ht="21" customHeight="1"/>
    <row r="635" ht="21" customHeight="1"/>
    <row r="636" ht="21" customHeight="1"/>
    <row r="637" ht="21" customHeight="1"/>
    <row r="638" ht="21" customHeight="1"/>
    <row r="639" ht="21" customHeight="1"/>
    <row r="640" ht="21" customHeight="1"/>
    <row r="641" ht="21" customHeight="1"/>
    <row r="642" ht="21" customHeight="1"/>
    <row r="643" ht="21" customHeight="1"/>
    <row r="644" ht="21" customHeight="1"/>
    <row r="645" ht="21" customHeight="1"/>
    <row r="646" ht="21" customHeight="1"/>
    <row r="647" ht="21" customHeight="1"/>
    <row r="648" ht="21" customHeight="1"/>
    <row r="649" ht="21" customHeight="1"/>
    <row r="650" ht="21" customHeight="1"/>
    <row r="651" ht="21" customHeight="1"/>
    <row r="652" ht="21" customHeight="1"/>
    <row r="653" ht="21" customHeight="1"/>
    <row r="654" ht="21" customHeight="1"/>
    <row r="655" ht="21" customHeight="1"/>
    <row r="656" ht="21" customHeight="1"/>
    <row r="657" ht="21" customHeight="1"/>
    <row r="658" ht="21" customHeight="1"/>
    <row r="659" ht="21" customHeight="1"/>
    <row r="660" ht="21" customHeight="1"/>
    <row r="661" ht="21" customHeight="1"/>
    <row r="662" ht="21" customHeight="1"/>
    <row r="663" ht="21" customHeight="1"/>
    <row r="664" ht="21" customHeight="1"/>
    <row r="665" ht="21" customHeight="1"/>
    <row r="666" ht="21" customHeight="1"/>
    <row r="667" ht="21" customHeight="1"/>
    <row r="668" ht="21" customHeight="1"/>
    <row r="669" ht="21" customHeight="1"/>
    <row r="670" ht="21" customHeight="1"/>
    <row r="671" ht="21" customHeight="1"/>
    <row r="672" ht="21" customHeight="1"/>
    <row r="673" ht="21" customHeight="1"/>
    <row r="674" ht="21" customHeight="1"/>
    <row r="675" ht="21" customHeight="1"/>
    <row r="676" ht="21" customHeight="1"/>
    <row r="677" ht="21" customHeight="1"/>
    <row r="678" ht="21" customHeight="1"/>
    <row r="679" ht="21" customHeight="1"/>
    <row r="680" ht="21" customHeight="1"/>
    <row r="681" ht="21" customHeight="1"/>
    <row r="682" ht="21" customHeight="1"/>
    <row r="683" ht="21" customHeight="1"/>
    <row r="684" ht="21" customHeight="1"/>
    <row r="685" ht="21" customHeight="1"/>
    <row r="686" ht="21" customHeight="1"/>
    <row r="687" ht="21" customHeight="1"/>
    <row r="688" ht="21" customHeight="1"/>
    <row r="689" ht="21" customHeight="1"/>
    <row r="690" ht="21" customHeight="1"/>
    <row r="691" ht="21" customHeight="1"/>
    <row r="692" ht="21" customHeight="1"/>
    <row r="693" ht="21" customHeight="1"/>
    <row r="694" ht="21" customHeight="1"/>
    <row r="695" ht="21" customHeight="1"/>
    <row r="696" ht="21" customHeight="1"/>
    <row r="697" ht="21" customHeight="1"/>
    <row r="698" ht="21" customHeight="1"/>
    <row r="699" ht="21" customHeight="1"/>
    <row r="700" ht="21" customHeight="1"/>
    <row r="701" ht="21" customHeight="1"/>
    <row r="702" ht="21" customHeight="1"/>
    <row r="703" ht="21" customHeight="1"/>
    <row r="704" ht="21" customHeight="1"/>
    <row r="705" ht="21" customHeight="1"/>
    <row r="706" ht="21" customHeight="1"/>
    <row r="707" ht="21" customHeight="1"/>
    <row r="708" ht="21" customHeight="1"/>
    <row r="709" ht="21" customHeight="1"/>
    <row r="710" ht="21" customHeight="1"/>
    <row r="711" ht="21" customHeight="1"/>
    <row r="712" ht="21" customHeight="1"/>
    <row r="713" ht="21" customHeight="1"/>
    <row r="714" ht="21" customHeight="1"/>
    <row r="715" ht="21" customHeight="1"/>
    <row r="716" ht="21" customHeight="1"/>
    <row r="717" ht="21" customHeight="1"/>
    <row r="718" ht="21" customHeight="1"/>
    <row r="719" ht="21" customHeight="1"/>
    <row r="720" ht="21" customHeight="1"/>
    <row r="721" ht="21" customHeight="1"/>
    <row r="722" ht="21" customHeight="1"/>
    <row r="723" ht="21" customHeight="1"/>
    <row r="724" ht="21" customHeight="1"/>
    <row r="725" ht="21" customHeight="1"/>
    <row r="726" ht="21" customHeight="1"/>
    <row r="727" ht="21" customHeight="1"/>
    <row r="728" ht="21" customHeight="1"/>
    <row r="729" ht="21" customHeight="1"/>
    <row r="730" ht="21" customHeight="1"/>
    <row r="731" ht="21" customHeight="1"/>
    <row r="732" ht="21" customHeight="1"/>
    <row r="733" ht="21" customHeight="1"/>
    <row r="734" ht="21" customHeight="1"/>
    <row r="735" ht="21" customHeight="1"/>
    <row r="736" ht="21" customHeight="1"/>
    <row r="737" ht="21" customHeight="1"/>
    <row r="738" ht="21" customHeight="1"/>
    <row r="739" ht="21" customHeight="1"/>
    <row r="740" ht="21" customHeight="1"/>
    <row r="741" ht="21" customHeight="1"/>
    <row r="742" ht="21" customHeight="1"/>
    <row r="743" ht="21" customHeight="1"/>
    <row r="744" ht="21" customHeight="1"/>
    <row r="745" ht="21" customHeight="1"/>
    <row r="746" ht="21" customHeight="1"/>
    <row r="747" ht="21" customHeight="1"/>
    <row r="748" ht="21" customHeight="1"/>
    <row r="749" ht="21" customHeight="1"/>
    <row r="750" ht="21" customHeight="1"/>
    <row r="751" ht="21" customHeight="1"/>
    <row r="752" ht="21" customHeight="1"/>
    <row r="753" ht="21" customHeight="1"/>
    <row r="754" ht="21" customHeight="1"/>
    <row r="755" ht="21" customHeight="1"/>
    <row r="756" ht="21" customHeight="1"/>
    <row r="757" ht="21" customHeight="1"/>
    <row r="758" ht="21" customHeight="1"/>
    <row r="759" ht="21" customHeight="1"/>
    <row r="760" ht="21" customHeight="1"/>
    <row r="761" ht="21" customHeight="1"/>
    <row r="762" ht="21" customHeight="1"/>
    <row r="763" ht="21" customHeight="1"/>
    <row r="764" ht="21" customHeight="1"/>
    <row r="765" ht="21" customHeight="1"/>
    <row r="766" ht="21" customHeight="1"/>
    <row r="767" ht="21" customHeight="1"/>
    <row r="768" ht="21" customHeight="1"/>
    <row r="769" ht="21" customHeight="1"/>
    <row r="770" ht="21" customHeight="1"/>
    <row r="771" ht="21" customHeight="1"/>
    <row r="772" ht="21" customHeight="1"/>
    <row r="773" ht="21" customHeight="1"/>
    <row r="774" ht="21" customHeight="1"/>
    <row r="775" ht="21" customHeight="1"/>
    <row r="776" ht="21" customHeight="1"/>
    <row r="777" ht="21" customHeight="1"/>
    <row r="778" ht="21" customHeight="1"/>
    <row r="779" ht="21" customHeight="1"/>
    <row r="780" ht="21" customHeight="1"/>
    <row r="781" ht="21" customHeight="1"/>
    <row r="782" ht="21" customHeight="1"/>
    <row r="783" ht="21" customHeight="1"/>
    <row r="784" ht="21" customHeight="1"/>
    <row r="785" ht="21" customHeight="1"/>
    <row r="786" ht="21" customHeight="1"/>
    <row r="787" ht="21" customHeight="1"/>
    <row r="788" ht="21" customHeight="1"/>
    <row r="789" ht="21" customHeight="1"/>
    <row r="790" ht="21" customHeight="1"/>
    <row r="791" ht="21" customHeight="1"/>
    <row r="792" ht="21" customHeight="1"/>
    <row r="793" ht="21" customHeight="1"/>
    <row r="794" ht="21" customHeight="1"/>
    <row r="795" ht="21" customHeight="1"/>
    <row r="796" ht="21" customHeight="1"/>
    <row r="797" ht="21" customHeight="1"/>
    <row r="798" ht="21" customHeight="1"/>
    <row r="799" ht="21" customHeight="1"/>
    <row r="800" ht="21" customHeight="1"/>
    <row r="801" ht="21" customHeight="1"/>
    <row r="802" ht="21" customHeight="1"/>
    <row r="803" ht="21" customHeight="1"/>
    <row r="804" ht="21" customHeight="1"/>
    <row r="805" ht="21" customHeight="1"/>
    <row r="806" ht="21" customHeight="1"/>
    <row r="807" ht="21" customHeight="1"/>
    <row r="808" ht="21" customHeight="1"/>
    <row r="809" ht="21" customHeight="1"/>
    <row r="810" ht="21" customHeight="1"/>
    <row r="811" ht="21" customHeight="1"/>
    <row r="812" ht="21" customHeight="1"/>
    <row r="813" ht="21" customHeight="1"/>
    <row r="814" ht="21" customHeight="1"/>
    <row r="815" ht="21" customHeight="1"/>
    <row r="816" ht="21" customHeight="1"/>
    <row r="817" ht="21" customHeight="1"/>
    <row r="818" ht="21" customHeight="1"/>
    <row r="819" ht="21" customHeight="1"/>
    <row r="820" ht="21" customHeight="1"/>
    <row r="821" ht="21" customHeight="1"/>
    <row r="822" ht="21" customHeight="1"/>
    <row r="823" ht="21" customHeight="1"/>
    <row r="824" ht="21" customHeight="1"/>
    <row r="825" ht="21" customHeight="1"/>
    <row r="826" ht="21" customHeight="1"/>
    <row r="827" ht="21" customHeight="1"/>
    <row r="828" ht="21" customHeight="1"/>
    <row r="829" ht="21" customHeight="1"/>
    <row r="830" ht="21" customHeight="1"/>
    <row r="831" ht="21" customHeight="1"/>
    <row r="832" ht="21" customHeight="1"/>
    <row r="833" ht="21" customHeight="1"/>
    <row r="834" ht="21" customHeight="1"/>
    <row r="835" ht="21" customHeight="1"/>
    <row r="836" ht="21" customHeight="1"/>
    <row r="837" ht="21" customHeight="1"/>
    <row r="838" ht="21" customHeight="1"/>
    <row r="839" ht="21" customHeight="1"/>
    <row r="840" ht="21" customHeight="1"/>
    <row r="841" ht="21" customHeight="1"/>
    <row r="842" ht="21" customHeight="1"/>
    <row r="843" ht="21" customHeight="1"/>
    <row r="844" ht="21" customHeight="1"/>
    <row r="845" ht="21" customHeight="1"/>
    <row r="846" ht="21" customHeight="1"/>
    <row r="847" ht="21" customHeight="1"/>
    <row r="848" ht="21" customHeight="1"/>
    <row r="849" ht="21" customHeight="1"/>
    <row r="850" ht="21" customHeight="1"/>
    <row r="851" ht="21" customHeight="1"/>
    <row r="852" ht="21" customHeight="1"/>
    <row r="853" ht="21" customHeight="1"/>
    <row r="854" ht="21" customHeight="1"/>
    <row r="855" ht="21" customHeight="1"/>
    <row r="856" ht="21" customHeight="1"/>
    <row r="857" ht="21" customHeight="1"/>
    <row r="858" ht="21" customHeight="1"/>
    <row r="859" ht="21" customHeight="1"/>
    <row r="860" ht="21" customHeight="1"/>
    <row r="861" ht="21" customHeight="1"/>
    <row r="862" ht="21" customHeight="1"/>
    <row r="863" ht="21" customHeight="1"/>
    <row r="864" ht="21" customHeight="1"/>
    <row r="865" ht="21" customHeight="1"/>
    <row r="866" ht="21" customHeight="1"/>
    <row r="867" ht="21" customHeight="1"/>
    <row r="868" ht="21" customHeight="1"/>
    <row r="869" ht="21" customHeight="1"/>
    <row r="870" ht="21" customHeight="1"/>
    <row r="871" ht="21" customHeight="1"/>
    <row r="872" ht="21" customHeight="1"/>
    <row r="873" ht="21" customHeight="1"/>
    <row r="874" ht="21" customHeight="1"/>
    <row r="875" ht="21" customHeight="1"/>
    <row r="876" ht="21" customHeight="1"/>
    <row r="877" ht="21" customHeight="1"/>
    <row r="878" ht="21" customHeight="1"/>
    <row r="879" ht="21" customHeight="1"/>
    <row r="880" ht="21" customHeight="1"/>
    <row r="881" ht="21" customHeight="1"/>
    <row r="882" ht="21" customHeight="1"/>
    <row r="883" ht="21" customHeight="1"/>
    <row r="884" ht="21" customHeight="1"/>
    <row r="885" ht="21" customHeight="1"/>
    <row r="886" ht="21" customHeight="1"/>
    <row r="887" ht="21" customHeight="1"/>
    <row r="888" ht="21" customHeight="1"/>
    <row r="889" ht="21" customHeight="1"/>
    <row r="890" ht="21" customHeight="1"/>
    <row r="891" ht="21" customHeight="1"/>
    <row r="892" ht="21" customHeight="1"/>
    <row r="893" ht="21" customHeight="1"/>
    <row r="894" ht="21" customHeight="1"/>
    <row r="895" ht="21" customHeight="1"/>
    <row r="896" ht="21" customHeight="1"/>
    <row r="897" ht="21" customHeight="1"/>
    <row r="898" ht="21" customHeight="1"/>
    <row r="899" ht="21" customHeight="1"/>
    <row r="900" ht="21" customHeight="1"/>
    <row r="901" ht="21" customHeight="1"/>
    <row r="902" ht="21" customHeight="1"/>
    <row r="903" ht="21" customHeight="1"/>
    <row r="904" ht="21" customHeight="1"/>
    <row r="905" ht="21" customHeight="1"/>
    <row r="906" ht="21" customHeight="1"/>
    <row r="907" ht="21" customHeight="1"/>
    <row r="908" ht="21" customHeight="1"/>
    <row r="909" ht="21" customHeight="1"/>
    <row r="910" ht="21" customHeight="1"/>
    <row r="911" ht="21" customHeight="1"/>
    <row r="912" ht="21" customHeight="1"/>
    <row r="913" ht="21" customHeight="1"/>
    <row r="914" ht="21" customHeight="1"/>
    <row r="915" ht="21" customHeight="1"/>
    <row r="916" ht="21" customHeight="1"/>
    <row r="917" ht="21" customHeight="1"/>
    <row r="918" ht="21" customHeight="1"/>
    <row r="919" ht="21" customHeight="1"/>
    <row r="920" ht="21" customHeight="1"/>
    <row r="921" ht="21" customHeight="1"/>
    <row r="922" ht="21" customHeight="1"/>
    <row r="923" ht="21" customHeight="1"/>
    <row r="924" ht="21" customHeight="1"/>
    <row r="925" ht="21" customHeight="1"/>
    <row r="926" ht="21" customHeight="1"/>
    <row r="927" ht="21" customHeight="1"/>
    <row r="928" ht="21" customHeight="1"/>
    <row r="929" ht="21" customHeight="1"/>
    <row r="930" ht="21" customHeight="1"/>
    <row r="931" ht="21" customHeight="1"/>
    <row r="932" ht="21" customHeight="1"/>
    <row r="933" ht="21" customHeight="1"/>
    <row r="934" ht="21" customHeight="1"/>
    <row r="935" ht="21" customHeight="1"/>
    <row r="936" ht="21" customHeight="1"/>
    <row r="937" ht="21" customHeight="1"/>
    <row r="938" ht="21" customHeight="1"/>
    <row r="939" ht="21" customHeight="1"/>
    <row r="940" ht="21" customHeight="1"/>
    <row r="941" ht="21" customHeight="1"/>
    <row r="942" ht="21" customHeight="1"/>
    <row r="943" ht="21" customHeight="1"/>
    <row r="944" ht="21" customHeight="1"/>
    <row r="945" ht="21" customHeight="1"/>
    <row r="946" ht="21" customHeight="1"/>
    <row r="947" ht="21" customHeight="1"/>
    <row r="948" ht="21" customHeight="1"/>
    <row r="949" ht="21" customHeight="1"/>
    <row r="950" ht="21" customHeight="1"/>
    <row r="951" ht="21" customHeight="1"/>
    <row r="952" ht="21" customHeight="1"/>
    <row r="953" ht="21" customHeight="1"/>
    <row r="954" ht="21" customHeight="1"/>
    <row r="955" ht="21" customHeight="1"/>
    <row r="956" ht="21" customHeight="1"/>
    <row r="957" ht="21" customHeight="1"/>
    <row r="958" ht="21" customHeight="1"/>
    <row r="959" ht="21" customHeight="1"/>
    <row r="960" ht="21" customHeight="1"/>
    <row r="961" ht="21" customHeight="1"/>
    <row r="962" ht="21" customHeight="1"/>
    <row r="963" ht="21" customHeight="1"/>
    <row r="964" ht="21" customHeight="1"/>
    <row r="965" ht="21" customHeight="1"/>
    <row r="966" ht="21" customHeight="1"/>
    <row r="967" ht="21" customHeight="1"/>
    <row r="968" ht="21" customHeight="1"/>
    <row r="969" ht="21" customHeight="1"/>
    <row r="970" ht="21" customHeight="1"/>
    <row r="971" ht="21" customHeight="1"/>
    <row r="972" ht="21" customHeight="1"/>
    <row r="973" ht="21" customHeight="1"/>
    <row r="974" ht="21" customHeight="1"/>
    <row r="975" ht="21" customHeight="1"/>
    <row r="976" ht="21" customHeight="1"/>
    <row r="977" ht="21" customHeight="1"/>
    <row r="978" ht="21" customHeight="1"/>
    <row r="979" ht="21" customHeight="1"/>
    <row r="980" ht="21" customHeight="1"/>
    <row r="981" ht="21" customHeight="1"/>
    <row r="982" ht="21" customHeight="1"/>
    <row r="983" ht="21" customHeight="1"/>
    <row r="984" ht="21" customHeight="1"/>
    <row r="985" ht="21" customHeight="1"/>
    <row r="986" ht="21" customHeight="1"/>
    <row r="987" ht="21" customHeight="1"/>
    <row r="988" ht="21" customHeight="1"/>
    <row r="989" ht="21" customHeight="1"/>
    <row r="990" ht="21" customHeight="1"/>
    <row r="991" ht="21" customHeight="1"/>
    <row r="992" ht="21" customHeight="1"/>
    <row r="993" ht="21" customHeight="1"/>
    <row r="994" ht="21" customHeight="1"/>
    <row r="995" ht="21" customHeight="1"/>
    <row r="996" ht="21" customHeight="1"/>
    <row r="997" ht="21" customHeight="1"/>
    <row r="998" ht="21" customHeight="1"/>
    <row r="999" ht="21" customHeight="1"/>
    <row r="1000" ht="21" customHeight="1"/>
  </sheetData>
  <conditionalFormatting sqref="N2:N14">
    <cfRule type="expression" dxfId="49" priority="1">
      <formula>N2="Pass"</formula>
    </cfRule>
  </conditionalFormatting>
  <conditionalFormatting sqref="N2:N14">
    <cfRule type="expression" dxfId="48" priority="2">
      <formula>N2="Fail"</formula>
    </cfRule>
  </conditionalFormatting>
  <conditionalFormatting sqref="N2:N14">
    <cfRule type="expression" dxfId="47" priority="3">
      <formula>N2="Blocked"</formula>
    </cfRule>
  </conditionalFormatting>
  <conditionalFormatting sqref="Q2:Q14">
    <cfRule type="expression" dxfId="46" priority="4">
      <formula>Q2="Yes"</formula>
    </cfRule>
  </conditionalFormatting>
  <conditionalFormatting sqref="Q2:Q14">
    <cfRule type="expression" dxfId="45" priority="5">
      <formula>Q2="Later"</formula>
    </cfRule>
  </conditionalFormatting>
  <conditionalFormatting sqref="Q2:Q14">
    <cfRule type="expression" dxfId="44" priority="6">
      <formula>Q2="No"</formula>
    </cfRule>
  </conditionalFormatting>
  <conditionalFormatting sqref="O2:O14">
    <cfRule type="expression" dxfId="43" priority="7">
      <formula>O2="High"</formula>
    </cfRule>
  </conditionalFormatting>
  <dataValidations count="4">
    <dataValidation type="list" allowBlank="1" sqref="R2:R14" xr:uid="{00000000-0002-0000-0100-000000000000}">
      <formula1>"P1,P2,P3,P4"</formula1>
    </dataValidation>
    <dataValidation type="list" allowBlank="1" sqref="O2:O14" xr:uid="{00000000-0002-0000-0100-000001000000}">
      <formula1>"High,Medium,Low"</formula1>
    </dataValidation>
    <dataValidation type="list" allowBlank="1" sqref="N2:N14" xr:uid="{00000000-0002-0000-0100-000002000000}">
      <formula1>"Not Run,Pass,Fail,Blocked,Retest"</formula1>
    </dataValidation>
    <dataValidation type="list" allowBlank="1" sqref="Q2:Q14" xr:uid="{00000000-0002-0000-0100-000003000000}">
      <formula1>"Yes,Later,No"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13" workbookViewId="0">
      <selection activeCell="H3" sqref="H3"/>
    </sheetView>
  </sheetViews>
  <sheetFormatPr baseColWidth="10" defaultColWidth="12.6640625" defaultRowHeight="15"/>
  <cols>
    <col min="1" max="1" width="16" customWidth="1"/>
    <col min="2" max="2" width="10" customWidth="1"/>
    <col min="3" max="3" width="28" customWidth="1"/>
    <col min="4" max="4" width="10" customWidth="1"/>
    <col min="5" max="5" width="26" customWidth="1"/>
    <col min="6" max="6" width="12" customWidth="1"/>
    <col min="7" max="7" width="28" customWidth="1"/>
    <col min="8" max="8" width="42" customWidth="1"/>
    <col min="9" max="9" width="38" customWidth="1"/>
    <col min="10" max="10" width="52" customWidth="1"/>
    <col min="11" max="11" width="34" customWidth="1"/>
    <col min="12" max="13" width="44" customWidth="1"/>
    <col min="14" max="14" width="12" customWidth="1"/>
    <col min="15" max="15" width="10" customWidth="1"/>
    <col min="16" max="16" width="22" customWidth="1"/>
    <col min="17" max="17" width="20" customWidth="1"/>
    <col min="18" max="19" width="12" customWidth="1"/>
    <col min="20" max="20" width="36" customWidth="1"/>
    <col min="21" max="21" width="30" customWidth="1"/>
    <col min="22" max="22" width="42" customWidth="1"/>
    <col min="23" max="26" width="8.6640625" customWidth="1"/>
  </cols>
  <sheetData>
    <row r="1" spans="1:26" ht="42" customHeight="1">
      <c r="A1" s="2" t="s">
        <v>62</v>
      </c>
      <c r="B1" s="2" t="s">
        <v>17</v>
      </c>
      <c r="C1" s="2" t="s">
        <v>18</v>
      </c>
      <c r="D1" s="2" t="s">
        <v>63</v>
      </c>
      <c r="E1" s="2" t="s">
        <v>64</v>
      </c>
      <c r="F1" s="2" t="s">
        <v>65</v>
      </c>
      <c r="G1" s="2" t="s">
        <v>66</v>
      </c>
      <c r="H1" s="2" t="s">
        <v>67</v>
      </c>
      <c r="I1" s="2" t="s">
        <v>68</v>
      </c>
      <c r="J1" s="2" t="s">
        <v>69</v>
      </c>
      <c r="K1" s="2" t="s">
        <v>70</v>
      </c>
      <c r="L1" s="2" t="s">
        <v>71</v>
      </c>
      <c r="M1" s="2" t="s">
        <v>72</v>
      </c>
      <c r="N1" s="2" t="s">
        <v>73</v>
      </c>
      <c r="O1" s="2" t="s">
        <v>74</v>
      </c>
      <c r="P1" s="2" t="s">
        <v>75</v>
      </c>
      <c r="Q1" s="2" t="s">
        <v>76</v>
      </c>
      <c r="R1" s="2" t="s">
        <v>77</v>
      </c>
      <c r="S1" s="2" t="s">
        <v>78</v>
      </c>
      <c r="T1" s="2" t="s">
        <v>79</v>
      </c>
      <c r="U1" s="2" t="s">
        <v>80</v>
      </c>
      <c r="V1" s="2" t="s">
        <v>81</v>
      </c>
    </row>
    <row r="2" spans="1:26" ht="128" customHeight="1">
      <c r="A2" s="5" t="s">
        <v>182</v>
      </c>
      <c r="B2" s="5" t="s">
        <v>31</v>
      </c>
      <c r="C2" s="5" t="s">
        <v>32</v>
      </c>
      <c r="D2" s="5" t="s">
        <v>183</v>
      </c>
      <c r="E2" s="5" t="s">
        <v>184</v>
      </c>
      <c r="F2" s="5" t="s">
        <v>130</v>
      </c>
      <c r="G2" s="5" t="s">
        <v>185</v>
      </c>
      <c r="H2" s="5" t="s">
        <v>186</v>
      </c>
      <c r="I2" s="5" t="s">
        <v>187</v>
      </c>
      <c r="J2" s="5" t="s">
        <v>188</v>
      </c>
      <c r="K2" s="5" t="s">
        <v>189</v>
      </c>
      <c r="L2" s="5" t="s">
        <v>190</v>
      </c>
      <c r="M2" s="5"/>
      <c r="N2" s="5" t="s">
        <v>25</v>
      </c>
      <c r="O2" s="5" t="s">
        <v>91</v>
      </c>
      <c r="P2" s="5" t="s">
        <v>92</v>
      </c>
      <c r="Q2" s="5" t="s">
        <v>116</v>
      </c>
      <c r="R2" s="5" t="s">
        <v>117</v>
      </c>
      <c r="S2" s="5"/>
      <c r="T2" s="5"/>
      <c r="U2" s="5" t="s">
        <v>191</v>
      </c>
      <c r="V2" s="5" t="s">
        <v>96</v>
      </c>
      <c r="W2" s="7"/>
      <c r="X2" s="7"/>
      <c r="Y2" s="7"/>
      <c r="Z2" s="7"/>
    </row>
    <row r="3" spans="1:26" ht="128" customHeight="1">
      <c r="A3" s="5" t="s">
        <v>192</v>
      </c>
      <c r="B3" s="5" t="s">
        <v>31</v>
      </c>
      <c r="C3" s="5" t="s">
        <v>32</v>
      </c>
      <c r="D3" s="5" t="s">
        <v>183</v>
      </c>
      <c r="E3" s="5" t="s">
        <v>184</v>
      </c>
      <c r="F3" s="5" t="s">
        <v>130</v>
      </c>
      <c r="G3" s="5" t="s">
        <v>185</v>
      </c>
      <c r="H3" s="5" t="s">
        <v>193</v>
      </c>
      <c r="I3" s="5" t="s">
        <v>194</v>
      </c>
      <c r="J3" s="5" t="s">
        <v>195</v>
      </c>
      <c r="K3" s="5" t="s">
        <v>189</v>
      </c>
      <c r="L3" s="5" t="s">
        <v>196</v>
      </c>
      <c r="M3" s="5"/>
      <c r="N3" s="5" t="s">
        <v>25</v>
      </c>
      <c r="O3" s="5" t="s">
        <v>91</v>
      </c>
      <c r="P3" s="5" t="s">
        <v>197</v>
      </c>
      <c r="Q3" s="5" t="s">
        <v>116</v>
      </c>
      <c r="R3" s="5" t="s">
        <v>117</v>
      </c>
      <c r="S3" s="5"/>
      <c r="T3" s="5"/>
      <c r="U3" s="5" t="s">
        <v>191</v>
      </c>
      <c r="V3" s="5" t="s">
        <v>96</v>
      </c>
      <c r="W3" s="7"/>
      <c r="X3" s="7"/>
      <c r="Y3" s="7"/>
      <c r="Z3" s="7"/>
    </row>
    <row r="4" spans="1:26" ht="128" customHeight="1">
      <c r="A4" s="5" t="s">
        <v>198</v>
      </c>
      <c r="B4" s="5" t="s">
        <v>31</v>
      </c>
      <c r="C4" s="5" t="s">
        <v>32</v>
      </c>
      <c r="D4" s="5" t="s">
        <v>199</v>
      </c>
      <c r="E4" s="5" t="s">
        <v>200</v>
      </c>
      <c r="F4" s="5" t="s">
        <v>130</v>
      </c>
      <c r="G4" s="5" t="s">
        <v>201</v>
      </c>
      <c r="H4" s="5" t="s">
        <v>202</v>
      </c>
      <c r="I4" s="5" t="s">
        <v>194</v>
      </c>
      <c r="J4" s="5" t="s">
        <v>203</v>
      </c>
      <c r="K4" s="5" t="s">
        <v>204</v>
      </c>
      <c r="L4" s="5" t="s">
        <v>205</v>
      </c>
      <c r="M4" s="5"/>
      <c r="N4" s="5" t="s">
        <v>25</v>
      </c>
      <c r="O4" s="5" t="s">
        <v>91</v>
      </c>
      <c r="P4" s="5" t="s">
        <v>92</v>
      </c>
      <c r="Q4" s="5" t="s">
        <v>116</v>
      </c>
      <c r="R4" s="5" t="s">
        <v>117</v>
      </c>
      <c r="S4" s="5"/>
      <c r="T4" s="5"/>
      <c r="U4" s="5" t="s">
        <v>191</v>
      </c>
      <c r="V4" s="5" t="s">
        <v>96</v>
      </c>
      <c r="W4" s="7"/>
      <c r="X4" s="7"/>
      <c r="Y4" s="7"/>
      <c r="Z4" s="7"/>
    </row>
    <row r="5" spans="1:26" ht="128" customHeight="1">
      <c r="A5" s="5" t="s">
        <v>206</v>
      </c>
      <c r="B5" s="5" t="s">
        <v>31</v>
      </c>
      <c r="C5" s="5" t="s">
        <v>32</v>
      </c>
      <c r="D5" s="5" t="s">
        <v>199</v>
      </c>
      <c r="E5" s="5" t="s">
        <v>200</v>
      </c>
      <c r="F5" s="5" t="s">
        <v>130</v>
      </c>
      <c r="G5" s="5" t="s">
        <v>201</v>
      </c>
      <c r="H5" s="5" t="s">
        <v>207</v>
      </c>
      <c r="I5" s="5" t="s">
        <v>208</v>
      </c>
      <c r="J5" s="5" t="s">
        <v>209</v>
      </c>
      <c r="K5" s="5" t="s">
        <v>210</v>
      </c>
      <c r="L5" s="5" t="s">
        <v>211</v>
      </c>
      <c r="M5" s="5"/>
      <c r="N5" s="5" t="s">
        <v>25</v>
      </c>
      <c r="O5" s="5" t="s">
        <v>91</v>
      </c>
      <c r="P5" s="5" t="s">
        <v>197</v>
      </c>
      <c r="Q5" s="5" t="s">
        <v>93</v>
      </c>
      <c r="R5" s="5" t="s">
        <v>94</v>
      </c>
      <c r="S5" s="5"/>
      <c r="T5" s="5"/>
      <c r="U5" s="5" t="s">
        <v>191</v>
      </c>
      <c r="V5" s="5" t="s">
        <v>96</v>
      </c>
      <c r="W5" s="7"/>
      <c r="X5" s="7"/>
      <c r="Y5" s="7"/>
      <c r="Z5" s="7"/>
    </row>
    <row r="6" spans="1:26" ht="128" customHeight="1">
      <c r="A6" s="5" t="s">
        <v>212</v>
      </c>
      <c r="B6" s="5" t="s">
        <v>31</v>
      </c>
      <c r="C6" s="5" t="s">
        <v>32</v>
      </c>
      <c r="D6" s="5" t="s">
        <v>213</v>
      </c>
      <c r="E6" s="5" t="s">
        <v>214</v>
      </c>
      <c r="F6" s="5" t="s">
        <v>130</v>
      </c>
      <c r="G6" s="5" t="s">
        <v>215</v>
      </c>
      <c r="H6" s="5" t="s">
        <v>216</v>
      </c>
      <c r="I6" s="5" t="s">
        <v>194</v>
      </c>
      <c r="J6" s="5" t="s">
        <v>217</v>
      </c>
      <c r="K6" s="5" t="s">
        <v>624</v>
      </c>
      <c r="L6" s="5" t="s">
        <v>218</v>
      </c>
      <c r="M6" s="5"/>
      <c r="N6" s="5" t="s">
        <v>25</v>
      </c>
      <c r="O6" s="5" t="s">
        <v>91</v>
      </c>
      <c r="P6" s="5" t="s">
        <v>92</v>
      </c>
      <c r="Q6" s="5" t="s">
        <v>93</v>
      </c>
      <c r="R6" s="5" t="s">
        <v>94</v>
      </c>
      <c r="S6" s="5"/>
      <c r="T6" s="5"/>
      <c r="U6" s="5" t="s">
        <v>219</v>
      </c>
      <c r="V6" s="5" t="s">
        <v>96</v>
      </c>
      <c r="W6" s="7"/>
      <c r="X6" s="7"/>
      <c r="Y6" s="7"/>
      <c r="Z6" s="7"/>
    </row>
    <row r="7" spans="1:26" ht="128" customHeight="1">
      <c r="A7" s="5" t="s">
        <v>220</v>
      </c>
      <c r="B7" s="5" t="s">
        <v>31</v>
      </c>
      <c r="C7" s="5" t="s">
        <v>32</v>
      </c>
      <c r="D7" s="5" t="s">
        <v>213</v>
      </c>
      <c r="E7" s="5" t="s">
        <v>214</v>
      </c>
      <c r="F7" s="5" t="s">
        <v>130</v>
      </c>
      <c r="G7" s="5" t="s">
        <v>215</v>
      </c>
      <c r="H7" s="5" t="s">
        <v>221</v>
      </c>
      <c r="I7" s="5" t="s">
        <v>194</v>
      </c>
      <c r="J7" s="5" t="s">
        <v>222</v>
      </c>
      <c r="K7" s="5" t="s">
        <v>625</v>
      </c>
      <c r="L7" s="5" t="s">
        <v>223</v>
      </c>
      <c r="M7" s="5"/>
      <c r="N7" s="5" t="s">
        <v>25</v>
      </c>
      <c r="O7" s="5" t="s">
        <v>114</v>
      </c>
      <c r="P7" s="5" t="s">
        <v>224</v>
      </c>
      <c r="Q7" s="5" t="s">
        <v>116</v>
      </c>
      <c r="R7" s="5" t="s">
        <v>117</v>
      </c>
      <c r="S7" s="5"/>
      <c r="T7" s="5"/>
      <c r="U7" s="5" t="s">
        <v>219</v>
      </c>
      <c r="V7" s="5" t="s">
        <v>96</v>
      </c>
      <c r="W7" s="7"/>
      <c r="X7" s="7"/>
      <c r="Y7" s="7"/>
      <c r="Z7" s="7"/>
    </row>
    <row r="8" spans="1:26" ht="128" customHeight="1">
      <c r="A8" s="5" t="s">
        <v>225</v>
      </c>
      <c r="B8" s="5" t="s">
        <v>31</v>
      </c>
      <c r="C8" s="5" t="s">
        <v>32</v>
      </c>
      <c r="D8" s="5" t="s">
        <v>226</v>
      </c>
      <c r="E8" s="5" t="s">
        <v>227</v>
      </c>
      <c r="F8" s="5" t="s">
        <v>130</v>
      </c>
      <c r="G8" s="5" t="s">
        <v>228</v>
      </c>
      <c r="H8" s="5" t="s">
        <v>229</v>
      </c>
      <c r="I8" s="5" t="s">
        <v>230</v>
      </c>
      <c r="J8" s="5" t="s">
        <v>231</v>
      </c>
      <c r="K8" s="5" t="s">
        <v>232</v>
      </c>
      <c r="L8" s="5" t="s">
        <v>233</v>
      </c>
      <c r="M8" s="5"/>
      <c r="N8" s="5" t="s">
        <v>25</v>
      </c>
      <c r="O8" s="5" t="s">
        <v>91</v>
      </c>
      <c r="P8" s="5" t="s">
        <v>92</v>
      </c>
      <c r="Q8" s="5" t="s">
        <v>93</v>
      </c>
      <c r="R8" s="5" t="s">
        <v>94</v>
      </c>
      <c r="S8" s="5"/>
      <c r="T8" s="5"/>
      <c r="U8" s="5" t="s">
        <v>234</v>
      </c>
      <c r="V8" s="5" t="s">
        <v>96</v>
      </c>
      <c r="W8" s="7"/>
      <c r="X8" s="7"/>
      <c r="Y8" s="7"/>
      <c r="Z8" s="7"/>
    </row>
    <row r="9" spans="1:26" ht="128" customHeight="1">
      <c r="A9" s="5" t="s">
        <v>235</v>
      </c>
      <c r="B9" s="5" t="s">
        <v>31</v>
      </c>
      <c r="C9" s="5" t="s">
        <v>32</v>
      </c>
      <c r="D9" s="5" t="s">
        <v>226</v>
      </c>
      <c r="E9" s="5" t="s">
        <v>227</v>
      </c>
      <c r="F9" s="5" t="s">
        <v>138</v>
      </c>
      <c r="G9" s="5" t="s">
        <v>236</v>
      </c>
      <c r="H9" s="5" t="s">
        <v>237</v>
      </c>
      <c r="I9" s="5" t="s">
        <v>238</v>
      </c>
      <c r="J9" s="5" t="s">
        <v>239</v>
      </c>
      <c r="K9" s="5" t="s">
        <v>240</v>
      </c>
      <c r="L9" s="5" t="s">
        <v>241</v>
      </c>
      <c r="M9" s="5"/>
      <c r="N9" s="5" t="s">
        <v>25</v>
      </c>
      <c r="O9" s="5" t="s">
        <v>114</v>
      </c>
      <c r="P9" s="5" t="s">
        <v>92</v>
      </c>
      <c r="Q9" s="5" t="s">
        <v>116</v>
      </c>
      <c r="R9" s="5" t="s">
        <v>117</v>
      </c>
      <c r="S9" s="5"/>
      <c r="T9" s="5"/>
      <c r="U9" s="5" t="s">
        <v>234</v>
      </c>
      <c r="V9" s="5" t="s">
        <v>96</v>
      </c>
      <c r="W9" s="7"/>
      <c r="X9" s="7"/>
      <c r="Y9" s="7"/>
      <c r="Z9" s="7"/>
    </row>
    <row r="10" spans="1:26" ht="128" customHeight="1">
      <c r="A10" s="5" t="s">
        <v>242</v>
      </c>
      <c r="B10" s="5" t="s">
        <v>31</v>
      </c>
      <c r="C10" s="5" t="s">
        <v>32</v>
      </c>
      <c r="D10" s="6" t="s">
        <v>243</v>
      </c>
      <c r="E10" s="5" t="s">
        <v>244</v>
      </c>
      <c r="F10" s="5" t="s">
        <v>130</v>
      </c>
      <c r="G10" s="5" t="s">
        <v>245</v>
      </c>
      <c r="H10" s="5" t="s">
        <v>246</v>
      </c>
      <c r="I10" s="5" t="s">
        <v>247</v>
      </c>
      <c r="J10" s="5" t="s">
        <v>248</v>
      </c>
      <c r="K10" s="5" t="s">
        <v>249</v>
      </c>
      <c r="L10" s="5" t="s">
        <v>250</v>
      </c>
      <c r="M10" s="5"/>
      <c r="N10" s="5" t="s">
        <v>25</v>
      </c>
      <c r="O10" s="5" t="s">
        <v>91</v>
      </c>
      <c r="P10" s="5" t="s">
        <v>92</v>
      </c>
      <c r="Q10" s="5" t="s">
        <v>93</v>
      </c>
      <c r="R10" s="5" t="s">
        <v>94</v>
      </c>
      <c r="S10" s="5"/>
      <c r="T10" s="5"/>
      <c r="U10" s="5" t="s">
        <v>251</v>
      </c>
      <c r="V10" s="5" t="s">
        <v>96</v>
      </c>
      <c r="W10" s="7"/>
      <c r="X10" s="7"/>
      <c r="Y10" s="7"/>
      <c r="Z10" s="7"/>
    </row>
    <row r="11" spans="1:26" ht="128" customHeight="1">
      <c r="A11" s="5" t="s">
        <v>252</v>
      </c>
      <c r="B11" s="5" t="s">
        <v>31</v>
      </c>
      <c r="C11" s="5" t="s">
        <v>32</v>
      </c>
      <c r="D11" s="6" t="s">
        <v>243</v>
      </c>
      <c r="E11" s="5" t="s">
        <v>244</v>
      </c>
      <c r="F11" s="5" t="s">
        <v>138</v>
      </c>
      <c r="G11" s="5" t="s">
        <v>253</v>
      </c>
      <c r="H11" s="5" t="s">
        <v>254</v>
      </c>
      <c r="I11" s="5" t="s">
        <v>255</v>
      </c>
      <c r="J11" s="5" t="s">
        <v>256</v>
      </c>
      <c r="K11" s="5" t="s">
        <v>257</v>
      </c>
      <c r="L11" s="5" t="s">
        <v>258</v>
      </c>
      <c r="M11" s="5"/>
      <c r="N11" s="5" t="s">
        <v>25</v>
      </c>
      <c r="O11" s="5" t="s">
        <v>114</v>
      </c>
      <c r="P11" s="5" t="s">
        <v>92</v>
      </c>
      <c r="Q11" s="5" t="s">
        <v>116</v>
      </c>
      <c r="R11" s="5" t="s">
        <v>117</v>
      </c>
      <c r="S11" s="5"/>
      <c r="T11" s="5"/>
      <c r="U11" s="5" t="s">
        <v>251</v>
      </c>
      <c r="V11" s="5" t="s">
        <v>96</v>
      </c>
      <c r="W11" s="7"/>
      <c r="X11" s="7"/>
      <c r="Y11" s="7"/>
      <c r="Z11" s="7"/>
    </row>
    <row r="12" spans="1:26" ht="128" customHeight="1">
      <c r="A12" s="5" t="s">
        <v>259</v>
      </c>
      <c r="B12" s="5" t="s">
        <v>31</v>
      </c>
      <c r="C12" s="5" t="s">
        <v>32</v>
      </c>
      <c r="D12" s="5" t="s">
        <v>260</v>
      </c>
      <c r="E12" s="5" t="s">
        <v>261</v>
      </c>
      <c r="F12" s="5" t="s">
        <v>130</v>
      </c>
      <c r="G12" s="5" t="s">
        <v>262</v>
      </c>
      <c r="H12" s="5" t="s">
        <v>263</v>
      </c>
      <c r="I12" s="5" t="s">
        <v>264</v>
      </c>
      <c r="J12" s="5" t="s">
        <v>265</v>
      </c>
      <c r="K12" s="5" t="s">
        <v>626</v>
      </c>
      <c r="L12" s="5" t="s">
        <v>266</v>
      </c>
      <c r="M12" s="5"/>
      <c r="N12" s="5" t="s">
        <v>25</v>
      </c>
      <c r="O12" s="5" t="s">
        <v>114</v>
      </c>
      <c r="P12" s="5" t="s">
        <v>92</v>
      </c>
      <c r="Q12" s="5" t="s">
        <v>116</v>
      </c>
      <c r="R12" s="5" t="s">
        <v>117</v>
      </c>
      <c r="S12" s="5"/>
      <c r="T12" s="5"/>
      <c r="U12" s="5" t="s">
        <v>267</v>
      </c>
      <c r="V12" s="5" t="s">
        <v>96</v>
      </c>
      <c r="W12" s="7"/>
      <c r="X12" s="7"/>
      <c r="Y12" s="7"/>
      <c r="Z12" s="7"/>
    </row>
    <row r="13" spans="1:26" ht="128" customHeight="1">
      <c r="A13" s="5" t="s">
        <v>268</v>
      </c>
      <c r="B13" s="5" t="s">
        <v>31</v>
      </c>
      <c r="C13" s="5" t="s">
        <v>32</v>
      </c>
      <c r="D13" s="5" t="s">
        <v>260</v>
      </c>
      <c r="E13" s="5" t="s">
        <v>261</v>
      </c>
      <c r="F13" s="5" t="s">
        <v>108</v>
      </c>
      <c r="G13" s="5" t="s">
        <v>269</v>
      </c>
      <c r="H13" s="5" t="s">
        <v>270</v>
      </c>
      <c r="I13" s="5" t="s">
        <v>208</v>
      </c>
      <c r="J13" s="5" t="s">
        <v>271</v>
      </c>
      <c r="K13" s="5" t="s">
        <v>627</v>
      </c>
      <c r="L13" s="5" t="s">
        <v>272</v>
      </c>
      <c r="M13" s="5"/>
      <c r="N13" s="5" t="s">
        <v>25</v>
      </c>
      <c r="O13" s="5" t="s">
        <v>273</v>
      </c>
      <c r="P13" s="5" t="s">
        <v>115</v>
      </c>
      <c r="Q13" s="5" t="s">
        <v>116</v>
      </c>
      <c r="R13" s="5" t="s">
        <v>117</v>
      </c>
      <c r="S13" s="5"/>
      <c r="T13" s="5"/>
      <c r="U13" s="5" t="s">
        <v>118</v>
      </c>
      <c r="V13" s="5" t="s">
        <v>96</v>
      </c>
      <c r="W13" s="7"/>
      <c r="X13" s="7"/>
      <c r="Y13" s="7"/>
      <c r="Z13" s="7"/>
    </row>
    <row r="14" spans="1:26" ht="128" customHeight="1">
      <c r="A14" s="5" t="s">
        <v>274</v>
      </c>
      <c r="B14" s="5" t="s">
        <v>31</v>
      </c>
      <c r="C14" s="5" t="s">
        <v>32</v>
      </c>
      <c r="D14" s="5" t="s">
        <v>275</v>
      </c>
      <c r="E14" s="5" t="s">
        <v>276</v>
      </c>
      <c r="F14" s="5" t="s">
        <v>130</v>
      </c>
      <c r="G14" s="5" t="s">
        <v>277</v>
      </c>
      <c r="H14" s="5" t="s">
        <v>278</v>
      </c>
      <c r="I14" s="5" t="s">
        <v>187</v>
      </c>
      <c r="J14" s="5" t="s">
        <v>279</v>
      </c>
      <c r="K14" s="5" t="s">
        <v>189</v>
      </c>
      <c r="L14" s="5" t="s">
        <v>280</v>
      </c>
      <c r="M14" s="5"/>
      <c r="N14" s="5" t="s">
        <v>25</v>
      </c>
      <c r="O14" s="5" t="s">
        <v>114</v>
      </c>
      <c r="P14" s="5" t="s">
        <v>197</v>
      </c>
      <c r="Q14" s="5" t="s">
        <v>116</v>
      </c>
      <c r="R14" s="5" t="s">
        <v>117</v>
      </c>
      <c r="S14" s="5"/>
      <c r="T14" s="5"/>
      <c r="U14" s="5" t="s">
        <v>281</v>
      </c>
      <c r="V14" s="5" t="s">
        <v>96</v>
      </c>
      <c r="W14" s="7"/>
      <c r="X14" s="7"/>
      <c r="Y14" s="7"/>
      <c r="Z14" s="7"/>
    </row>
    <row r="15" spans="1:26" ht="128" customHeight="1">
      <c r="A15" s="5" t="s">
        <v>282</v>
      </c>
      <c r="B15" s="5" t="s">
        <v>31</v>
      </c>
      <c r="C15" s="5" t="s">
        <v>32</v>
      </c>
      <c r="D15" s="5" t="s">
        <v>275</v>
      </c>
      <c r="E15" s="5" t="s">
        <v>276</v>
      </c>
      <c r="F15" s="5" t="s">
        <v>138</v>
      </c>
      <c r="G15" s="5" t="s">
        <v>283</v>
      </c>
      <c r="H15" s="5" t="s">
        <v>284</v>
      </c>
      <c r="I15" s="5" t="s">
        <v>285</v>
      </c>
      <c r="J15" s="5" t="s">
        <v>286</v>
      </c>
      <c r="K15" s="5" t="s">
        <v>287</v>
      </c>
      <c r="L15" s="5" t="s">
        <v>288</v>
      </c>
      <c r="M15" s="5"/>
      <c r="N15" s="5" t="s">
        <v>25</v>
      </c>
      <c r="O15" s="5" t="s">
        <v>91</v>
      </c>
      <c r="P15" s="5" t="s">
        <v>92</v>
      </c>
      <c r="Q15" s="5" t="s">
        <v>93</v>
      </c>
      <c r="R15" s="5" t="s">
        <v>94</v>
      </c>
      <c r="S15" s="5"/>
      <c r="T15" s="5"/>
      <c r="U15" s="5" t="s">
        <v>281</v>
      </c>
      <c r="V15" s="5" t="s">
        <v>96</v>
      </c>
      <c r="W15" s="7"/>
      <c r="X15" s="7"/>
      <c r="Y15" s="7"/>
      <c r="Z15" s="7"/>
    </row>
    <row r="21" ht="21" customHeight="1"/>
    <row r="22" ht="21" customHeight="1"/>
    <row r="23" ht="21" customHeight="1"/>
    <row r="24" ht="21" customHeight="1"/>
    <row r="25" ht="21" customHeight="1"/>
    <row r="26" ht="21" customHeight="1"/>
    <row r="27" ht="21" customHeight="1"/>
    <row r="28" ht="21" customHeight="1"/>
    <row r="29" ht="21" customHeight="1"/>
    <row r="30" ht="21" customHeight="1"/>
    <row r="31" ht="21" customHeight="1"/>
    <row r="32" ht="21" customHeight="1"/>
    <row r="33" ht="21" customHeight="1"/>
    <row r="34" ht="21" customHeight="1"/>
    <row r="35" ht="21" customHeight="1"/>
    <row r="36" ht="21" customHeight="1"/>
    <row r="37" ht="21" customHeight="1"/>
    <row r="38" ht="21" customHeight="1"/>
    <row r="39" ht="21" customHeight="1"/>
    <row r="40" ht="21" customHeight="1"/>
    <row r="41" ht="21" customHeight="1"/>
    <row r="42" ht="21" customHeight="1"/>
    <row r="43" ht="21" customHeight="1"/>
    <row r="44" ht="21" customHeight="1"/>
    <row r="45" ht="21" customHeight="1"/>
    <row r="46" ht="21" customHeight="1"/>
    <row r="47" ht="21" customHeight="1"/>
    <row r="48"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row r="350" ht="21" customHeight="1"/>
    <row r="351" ht="21" customHeight="1"/>
    <row r="352" ht="21" customHeight="1"/>
    <row r="353" ht="21" customHeight="1"/>
    <row r="354" ht="21" customHeight="1"/>
    <row r="355" ht="21" customHeight="1"/>
    <row r="356" ht="21" customHeight="1"/>
    <row r="357" ht="21" customHeight="1"/>
    <row r="358" ht="21" customHeight="1"/>
    <row r="359" ht="21" customHeight="1"/>
    <row r="360" ht="21" customHeight="1"/>
    <row r="361" ht="21" customHeight="1"/>
    <row r="362" ht="21" customHeight="1"/>
    <row r="363" ht="21" customHeight="1"/>
    <row r="364" ht="21" customHeight="1"/>
    <row r="365" ht="21" customHeight="1"/>
    <row r="366" ht="21" customHeight="1"/>
    <row r="367" ht="21" customHeight="1"/>
    <row r="368" ht="21" customHeight="1"/>
    <row r="369" ht="21" customHeight="1"/>
    <row r="370" ht="21" customHeight="1"/>
    <row r="371" ht="21" customHeight="1"/>
    <row r="372" ht="21" customHeight="1"/>
    <row r="373" ht="21" customHeight="1"/>
    <row r="374" ht="21" customHeight="1"/>
    <row r="375" ht="21" customHeight="1"/>
    <row r="376" ht="21" customHeight="1"/>
    <row r="377" ht="21" customHeight="1"/>
    <row r="378" ht="21" customHeight="1"/>
    <row r="379" ht="21" customHeight="1"/>
    <row r="380" ht="21" customHeight="1"/>
    <row r="381" ht="21" customHeight="1"/>
    <row r="382" ht="21" customHeight="1"/>
    <row r="383" ht="21" customHeight="1"/>
    <row r="384" ht="21" customHeight="1"/>
    <row r="385" ht="21" customHeight="1"/>
    <row r="386" ht="21" customHeight="1"/>
    <row r="387" ht="21" customHeight="1"/>
    <row r="388" ht="21" customHeight="1"/>
    <row r="389" ht="21" customHeight="1"/>
    <row r="390" ht="21" customHeight="1"/>
    <row r="391" ht="21" customHeight="1"/>
    <row r="392" ht="21" customHeight="1"/>
    <row r="393" ht="21" customHeight="1"/>
    <row r="394" ht="21" customHeight="1"/>
    <row r="395" ht="21" customHeight="1"/>
    <row r="396" ht="21" customHeight="1"/>
    <row r="397" ht="21" customHeight="1"/>
    <row r="398" ht="21" customHeight="1"/>
    <row r="399" ht="21" customHeight="1"/>
    <row r="400" ht="21" customHeight="1"/>
    <row r="401" ht="21" customHeight="1"/>
    <row r="402" ht="21" customHeight="1"/>
    <row r="403" ht="21" customHeight="1"/>
    <row r="404" ht="21" customHeight="1"/>
    <row r="405" ht="21" customHeight="1"/>
    <row r="406" ht="21" customHeight="1"/>
    <row r="407" ht="21" customHeight="1"/>
    <row r="408" ht="21" customHeight="1"/>
    <row r="409" ht="21" customHeight="1"/>
    <row r="410" ht="21" customHeight="1"/>
    <row r="411" ht="21" customHeight="1"/>
    <row r="412" ht="21" customHeight="1"/>
    <row r="413" ht="21" customHeight="1"/>
    <row r="414" ht="21" customHeight="1"/>
    <row r="415" ht="21" customHeight="1"/>
    <row r="416" ht="21" customHeight="1"/>
    <row r="417" ht="21" customHeight="1"/>
    <row r="418" ht="21" customHeight="1"/>
    <row r="419" ht="21" customHeight="1"/>
    <row r="420" ht="21" customHeight="1"/>
    <row r="421" ht="21" customHeight="1"/>
    <row r="422" ht="21" customHeight="1"/>
    <row r="423" ht="21" customHeight="1"/>
    <row r="424" ht="21" customHeight="1"/>
    <row r="425" ht="21" customHeight="1"/>
    <row r="426" ht="21" customHeight="1"/>
    <row r="427" ht="21" customHeight="1"/>
    <row r="428" ht="21" customHeight="1"/>
    <row r="429" ht="21" customHeight="1"/>
    <row r="430" ht="21" customHeight="1"/>
    <row r="431" ht="21" customHeight="1"/>
    <row r="432" ht="21" customHeight="1"/>
    <row r="433" ht="21" customHeight="1"/>
    <row r="434" ht="21" customHeight="1"/>
    <row r="435" ht="21" customHeight="1"/>
    <row r="436" ht="21" customHeight="1"/>
    <row r="437" ht="21" customHeight="1"/>
    <row r="438" ht="21" customHeight="1"/>
    <row r="439" ht="21" customHeight="1"/>
    <row r="440" ht="21" customHeight="1"/>
    <row r="441" ht="21" customHeight="1"/>
    <row r="442" ht="21" customHeight="1"/>
    <row r="443" ht="21" customHeight="1"/>
    <row r="444" ht="21" customHeight="1"/>
    <row r="445" ht="21" customHeight="1"/>
    <row r="446" ht="21" customHeight="1"/>
    <row r="447" ht="21" customHeight="1"/>
    <row r="448" ht="21" customHeight="1"/>
    <row r="449" ht="21" customHeight="1"/>
    <row r="450" ht="21" customHeight="1"/>
    <row r="451" ht="21" customHeight="1"/>
    <row r="452" ht="21" customHeight="1"/>
    <row r="453" ht="21" customHeight="1"/>
    <row r="454" ht="21" customHeight="1"/>
    <row r="455" ht="21" customHeight="1"/>
    <row r="456" ht="21" customHeight="1"/>
    <row r="457" ht="21" customHeight="1"/>
    <row r="458" ht="21" customHeight="1"/>
    <row r="459" ht="21" customHeight="1"/>
    <row r="460" ht="21" customHeight="1"/>
    <row r="461" ht="21" customHeight="1"/>
    <row r="462" ht="21" customHeight="1"/>
    <row r="463" ht="21" customHeight="1"/>
    <row r="464" ht="21" customHeight="1"/>
    <row r="465" ht="21" customHeight="1"/>
    <row r="466" ht="21" customHeight="1"/>
    <row r="467" ht="21" customHeight="1"/>
    <row r="468" ht="21" customHeight="1"/>
    <row r="469" ht="21" customHeight="1"/>
    <row r="470" ht="21" customHeight="1"/>
    <row r="471" ht="21" customHeight="1"/>
    <row r="472" ht="21" customHeight="1"/>
    <row r="473" ht="21" customHeight="1"/>
    <row r="474" ht="21" customHeight="1"/>
    <row r="475" ht="21" customHeight="1"/>
    <row r="476" ht="21" customHeight="1"/>
    <row r="477" ht="21" customHeight="1"/>
    <row r="478" ht="21" customHeight="1"/>
    <row r="479" ht="21" customHeight="1"/>
    <row r="480" ht="21" customHeight="1"/>
    <row r="481" ht="21" customHeight="1"/>
    <row r="482" ht="21" customHeight="1"/>
    <row r="483" ht="21" customHeight="1"/>
    <row r="484" ht="21" customHeight="1"/>
    <row r="485" ht="21" customHeight="1"/>
    <row r="486" ht="21" customHeight="1"/>
    <row r="487" ht="21" customHeight="1"/>
    <row r="488" ht="21" customHeight="1"/>
    <row r="489" ht="21" customHeight="1"/>
    <row r="490" ht="21" customHeight="1"/>
    <row r="491" ht="21" customHeight="1"/>
    <row r="492" ht="21" customHeight="1"/>
    <row r="493" ht="21" customHeight="1"/>
    <row r="494" ht="21" customHeight="1"/>
    <row r="495" ht="21" customHeight="1"/>
    <row r="496" ht="21" customHeight="1"/>
    <row r="497" ht="21" customHeight="1"/>
    <row r="498" ht="21" customHeight="1"/>
    <row r="499" ht="21" customHeight="1"/>
    <row r="500" ht="21" customHeight="1"/>
    <row r="501" ht="21" customHeight="1"/>
    <row r="502" ht="21" customHeight="1"/>
    <row r="503" ht="21" customHeight="1"/>
    <row r="504" ht="21" customHeight="1"/>
    <row r="505" ht="21" customHeight="1"/>
    <row r="506" ht="21" customHeight="1"/>
    <row r="507" ht="21" customHeight="1"/>
    <row r="508" ht="21" customHeight="1"/>
    <row r="509" ht="21" customHeight="1"/>
    <row r="510" ht="21" customHeight="1"/>
    <row r="511" ht="21" customHeight="1"/>
    <row r="512" ht="21" customHeight="1"/>
    <row r="513" ht="21" customHeight="1"/>
    <row r="514" ht="21" customHeight="1"/>
    <row r="515" ht="21" customHeight="1"/>
    <row r="516" ht="21" customHeight="1"/>
    <row r="517" ht="21" customHeight="1"/>
    <row r="518" ht="21" customHeight="1"/>
    <row r="519" ht="21" customHeight="1"/>
    <row r="520" ht="21" customHeight="1"/>
    <row r="521" ht="21" customHeight="1"/>
    <row r="522" ht="21" customHeight="1"/>
    <row r="523" ht="21" customHeight="1"/>
    <row r="524" ht="21" customHeight="1"/>
    <row r="525" ht="21" customHeight="1"/>
    <row r="526" ht="21" customHeight="1"/>
    <row r="527" ht="21" customHeight="1"/>
    <row r="528" ht="21" customHeight="1"/>
    <row r="529" ht="21" customHeight="1"/>
    <row r="530" ht="21" customHeight="1"/>
    <row r="531" ht="21" customHeight="1"/>
    <row r="532" ht="21" customHeight="1"/>
    <row r="533" ht="21" customHeight="1"/>
    <row r="534" ht="21" customHeight="1"/>
    <row r="535" ht="21" customHeight="1"/>
    <row r="536" ht="21" customHeight="1"/>
    <row r="537" ht="21" customHeight="1"/>
    <row r="538" ht="21" customHeight="1"/>
    <row r="539" ht="21" customHeight="1"/>
    <row r="540" ht="21" customHeight="1"/>
    <row r="541" ht="21" customHeight="1"/>
    <row r="542" ht="21" customHeight="1"/>
    <row r="543" ht="21" customHeight="1"/>
    <row r="544" ht="21" customHeight="1"/>
    <row r="545" ht="21" customHeight="1"/>
    <row r="546" ht="21" customHeight="1"/>
    <row r="547" ht="21" customHeight="1"/>
    <row r="548" ht="21" customHeight="1"/>
    <row r="549" ht="21" customHeight="1"/>
    <row r="550" ht="21" customHeight="1"/>
    <row r="551" ht="21" customHeight="1"/>
    <row r="552" ht="21" customHeight="1"/>
    <row r="553" ht="21" customHeight="1"/>
    <row r="554" ht="21" customHeight="1"/>
    <row r="555" ht="21" customHeight="1"/>
    <row r="556" ht="21" customHeight="1"/>
    <row r="557" ht="21" customHeight="1"/>
    <row r="558" ht="21" customHeight="1"/>
    <row r="559" ht="21" customHeight="1"/>
    <row r="560" ht="21" customHeight="1"/>
    <row r="561" ht="21" customHeight="1"/>
    <row r="562" ht="21" customHeight="1"/>
    <row r="563" ht="21" customHeight="1"/>
    <row r="564" ht="21" customHeight="1"/>
    <row r="565" ht="21" customHeight="1"/>
    <row r="566" ht="21" customHeight="1"/>
    <row r="567" ht="21" customHeight="1"/>
    <row r="568" ht="21" customHeight="1"/>
    <row r="569" ht="21" customHeight="1"/>
    <row r="570" ht="21" customHeight="1"/>
    <row r="571" ht="21" customHeight="1"/>
    <row r="572" ht="21" customHeight="1"/>
    <row r="573" ht="21" customHeight="1"/>
    <row r="574" ht="21" customHeight="1"/>
    <row r="575" ht="21" customHeight="1"/>
    <row r="576" ht="21" customHeight="1"/>
    <row r="577" ht="21" customHeight="1"/>
    <row r="578" ht="21" customHeight="1"/>
    <row r="579" ht="21" customHeight="1"/>
    <row r="580" ht="21" customHeight="1"/>
    <row r="581" ht="21" customHeight="1"/>
    <row r="582" ht="21" customHeight="1"/>
    <row r="583" ht="21" customHeight="1"/>
    <row r="584" ht="21" customHeight="1"/>
    <row r="585" ht="21" customHeight="1"/>
    <row r="586" ht="21" customHeight="1"/>
    <row r="587" ht="21" customHeight="1"/>
    <row r="588" ht="21" customHeight="1"/>
    <row r="589" ht="21" customHeight="1"/>
    <row r="590" ht="21" customHeight="1"/>
    <row r="591" ht="21" customHeight="1"/>
    <row r="592" ht="21" customHeight="1"/>
    <row r="593" ht="21" customHeight="1"/>
    <row r="594" ht="21" customHeight="1"/>
    <row r="595" ht="21" customHeight="1"/>
    <row r="596" ht="21" customHeight="1"/>
    <row r="597" ht="21" customHeight="1"/>
    <row r="598" ht="21" customHeight="1"/>
    <row r="599" ht="21" customHeight="1"/>
    <row r="600" ht="21" customHeight="1"/>
    <row r="601" ht="21" customHeight="1"/>
    <row r="602" ht="21" customHeight="1"/>
    <row r="603" ht="21" customHeight="1"/>
    <row r="604" ht="21" customHeight="1"/>
    <row r="605" ht="21" customHeight="1"/>
    <row r="606" ht="21" customHeight="1"/>
    <row r="607" ht="21" customHeight="1"/>
    <row r="608" ht="21" customHeight="1"/>
    <row r="609" ht="21" customHeight="1"/>
    <row r="610" ht="21" customHeight="1"/>
    <row r="611" ht="21" customHeight="1"/>
    <row r="612" ht="21" customHeight="1"/>
    <row r="613" ht="21" customHeight="1"/>
    <row r="614" ht="21" customHeight="1"/>
    <row r="615" ht="21" customHeight="1"/>
    <row r="616" ht="21" customHeight="1"/>
    <row r="617" ht="21" customHeight="1"/>
    <row r="618" ht="21" customHeight="1"/>
    <row r="619" ht="21" customHeight="1"/>
    <row r="620" ht="21" customHeight="1"/>
    <row r="621" ht="21" customHeight="1"/>
    <row r="622" ht="21" customHeight="1"/>
    <row r="623" ht="21" customHeight="1"/>
    <row r="624" ht="21" customHeight="1"/>
    <row r="625" ht="21" customHeight="1"/>
    <row r="626" ht="21" customHeight="1"/>
    <row r="627" ht="21" customHeight="1"/>
    <row r="628" ht="21" customHeight="1"/>
    <row r="629" ht="21" customHeight="1"/>
    <row r="630" ht="21" customHeight="1"/>
    <row r="631" ht="21" customHeight="1"/>
    <row r="632" ht="21" customHeight="1"/>
    <row r="633" ht="21" customHeight="1"/>
    <row r="634" ht="21" customHeight="1"/>
    <row r="635" ht="21" customHeight="1"/>
    <row r="636" ht="21" customHeight="1"/>
    <row r="637" ht="21" customHeight="1"/>
    <row r="638" ht="21" customHeight="1"/>
    <row r="639" ht="21" customHeight="1"/>
    <row r="640" ht="21" customHeight="1"/>
    <row r="641" ht="21" customHeight="1"/>
    <row r="642" ht="21" customHeight="1"/>
    <row r="643" ht="21" customHeight="1"/>
    <row r="644" ht="21" customHeight="1"/>
    <row r="645" ht="21" customHeight="1"/>
    <row r="646" ht="21" customHeight="1"/>
    <row r="647" ht="21" customHeight="1"/>
    <row r="648" ht="21" customHeight="1"/>
    <row r="649" ht="21" customHeight="1"/>
    <row r="650" ht="21" customHeight="1"/>
    <row r="651" ht="21" customHeight="1"/>
    <row r="652" ht="21" customHeight="1"/>
    <row r="653" ht="21" customHeight="1"/>
    <row r="654" ht="21" customHeight="1"/>
    <row r="655" ht="21" customHeight="1"/>
    <row r="656" ht="21" customHeight="1"/>
    <row r="657" ht="21" customHeight="1"/>
    <row r="658" ht="21" customHeight="1"/>
    <row r="659" ht="21" customHeight="1"/>
    <row r="660" ht="21" customHeight="1"/>
    <row r="661" ht="21" customHeight="1"/>
    <row r="662" ht="21" customHeight="1"/>
    <row r="663" ht="21" customHeight="1"/>
    <row r="664" ht="21" customHeight="1"/>
    <row r="665" ht="21" customHeight="1"/>
    <row r="666" ht="21" customHeight="1"/>
    <row r="667" ht="21" customHeight="1"/>
    <row r="668" ht="21" customHeight="1"/>
    <row r="669" ht="21" customHeight="1"/>
    <row r="670" ht="21" customHeight="1"/>
    <row r="671" ht="21" customHeight="1"/>
    <row r="672" ht="21" customHeight="1"/>
    <row r="673" ht="21" customHeight="1"/>
    <row r="674" ht="21" customHeight="1"/>
    <row r="675" ht="21" customHeight="1"/>
    <row r="676" ht="21" customHeight="1"/>
    <row r="677" ht="21" customHeight="1"/>
    <row r="678" ht="21" customHeight="1"/>
    <row r="679" ht="21" customHeight="1"/>
    <row r="680" ht="21" customHeight="1"/>
    <row r="681" ht="21" customHeight="1"/>
    <row r="682" ht="21" customHeight="1"/>
    <row r="683" ht="21" customHeight="1"/>
    <row r="684" ht="21" customHeight="1"/>
    <row r="685" ht="21" customHeight="1"/>
    <row r="686" ht="21" customHeight="1"/>
    <row r="687" ht="21" customHeight="1"/>
    <row r="688" ht="21" customHeight="1"/>
    <row r="689" ht="21" customHeight="1"/>
    <row r="690" ht="21" customHeight="1"/>
    <row r="691" ht="21" customHeight="1"/>
    <row r="692" ht="21" customHeight="1"/>
    <row r="693" ht="21" customHeight="1"/>
    <row r="694" ht="21" customHeight="1"/>
    <row r="695" ht="21" customHeight="1"/>
    <row r="696" ht="21" customHeight="1"/>
    <row r="697" ht="21" customHeight="1"/>
    <row r="698" ht="21" customHeight="1"/>
    <row r="699" ht="21" customHeight="1"/>
    <row r="700" ht="21" customHeight="1"/>
    <row r="701" ht="21" customHeight="1"/>
    <row r="702" ht="21" customHeight="1"/>
    <row r="703" ht="21" customHeight="1"/>
    <row r="704" ht="21" customHeight="1"/>
    <row r="705" ht="21" customHeight="1"/>
    <row r="706" ht="21" customHeight="1"/>
    <row r="707" ht="21" customHeight="1"/>
    <row r="708" ht="21" customHeight="1"/>
    <row r="709" ht="21" customHeight="1"/>
    <row r="710" ht="21" customHeight="1"/>
    <row r="711" ht="21" customHeight="1"/>
    <row r="712" ht="21" customHeight="1"/>
    <row r="713" ht="21" customHeight="1"/>
    <row r="714" ht="21" customHeight="1"/>
    <row r="715" ht="21" customHeight="1"/>
    <row r="716" ht="21" customHeight="1"/>
    <row r="717" ht="21" customHeight="1"/>
    <row r="718" ht="21" customHeight="1"/>
    <row r="719" ht="21" customHeight="1"/>
    <row r="720" ht="21" customHeight="1"/>
    <row r="721" ht="21" customHeight="1"/>
    <row r="722" ht="21" customHeight="1"/>
    <row r="723" ht="21" customHeight="1"/>
    <row r="724" ht="21" customHeight="1"/>
    <row r="725" ht="21" customHeight="1"/>
    <row r="726" ht="21" customHeight="1"/>
    <row r="727" ht="21" customHeight="1"/>
    <row r="728" ht="21" customHeight="1"/>
    <row r="729" ht="21" customHeight="1"/>
    <row r="730" ht="21" customHeight="1"/>
    <row r="731" ht="21" customHeight="1"/>
    <row r="732" ht="21" customHeight="1"/>
    <row r="733" ht="21" customHeight="1"/>
    <row r="734" ht="21" customHeight="1"/>
    <row r="735" ht="21" customHeight="1"/>
    <row r="736" ht="21" customHeight="1"/>
    <row r="737" ht="21" customHeight="1"/>
    <row r="738" ht="21" customHeight="1"/>
    <row r="739" ht="21" customHeight="1"/>
    <row r="740" ht="21" customHeight="1"/>
    <row r="741" ht="21" customHeight="1"/>
    <row r="742" ht="21" customHeight="1"/>
    <row r="743" ht="21" customHeight="1"/>
    <row r="744" ht="21" customHeight="1"/>
    <row r="745" ht="21" customHeight="1"/>
    <row r="746" ht="21" customHeight="1"/>
    <row r="747" ht="21" customHeight="1"/>
    <row r="748" ht="21" customHeight="1"/>
    <row r="749" ht="21" customHeight="1"/>
    <row r="750" ht="21" customHeight="1"/>
    <row r="751" ht="21" customHeight="1"/>
    <row r="752" ht="21" customHeight="1"/>
    <row r="753" ht="21" customHeight="1"/>
    <row r="754" ht="21" customHeight="1"/>
    <row r="755" ht="21" customHeight="1"/>
    <row r="756" ht="21" customHeight="1"/>
    <row r="757" ht="21" customHeight="1"/>
    <row r="758" ht="21" customHeight="1"/>
    <row r="759" ht="21" customHeight="1"/>
    <row r="760" ht="21" customHeight="1"/>
    <row r="761" ht="21" customHeight="1"/>
    <row r="762" ht="21" customHeight="1"/>
    <row r="763" ht="21" customHeight="1"/>
    <row r="764" ht="21" customHeight="1"/>
    <row r="765" ht="21" customHeight="1"/>
    <row r="766" ht="21" customHeight="1"/>
    <row r="767" ht="21" customHeight="1"/>
    <row r="768" ht="21" customHeight="1"/>
    <row r="769" ht="21" customHeight="1"/>
    <row r="770" ht="21" customHeight="1"/>
    <row r="771" ht="21" customHeight="1"/>
    <row r="772" ht="21" customHeight="1"/>
    <row r="773" ht="21" customHeight="1"/>
    <row r="774" ht="21" customHeight="1"/>
    <row r="775" ht="21" customHeight="1"/>
    <row r="776" ht="21" customHeight="1"/>
    <row r="777" ht="21" customHeight="1"/>
    <row r="778" ht="21" customHeight="1"/>
    <row r="779" ht="21" customHeight="1"/>
    <row r="780" ht="21" customHeight="1"/>
    <row r="781" ht="21" customHeight="1"/>
    <row r="782" ht="21" customHeight="1"/>
    <row r="783" ht="21" customHeight="1"/>
    <row r="784" ht="21" customHeight="1"/>
    <row r="785" ht="21" customHeight="1"/>
    <row r="786" ht="21" customHeight="1"/>
    <row r="787" ht="21" customHeight="1"/>
    <row r="788" ht="21" customHeight="1"/>
    <row r="789" ht="21" customHeight="1"/>
    <row r="790" ht="21" customHeight="1"/>
    <row r="791" ht="21" customHeight="1"/>
    <row r="792" ht="21" customHeight="1"/>
    <row r="793" ht="21" customHeight="1"/>
    <row r="794" ht="21" customHeight="1"/>
    <row r="795" ht="21" customHeight="1"/>
    <row r="796" ht="21" customHeight="1"/>
    <row r="797" ht="21" customHeight="1"/>
    <row r="798" ht="21" customHeight="1"/>
    <row r="799" ht="21" customHeight="1"/>
    <row r="800" ht="21" customHeight="1"/>
    <row r="801" ht="21" customHeight="1"/>
    <row r="802" ht="21" customHeight="1"/>
    <row r="803" ht="21" customHeight="1"/>
    <row r="804" ht="21" customHeight="1"/>
    <row r="805" ht="21" customHeight="1"/>
    <row r="806" ht="21" customHeight="1"/>
    <row r="807" ht="21" customHeight="1"/>
    <row r="808" ht="21" customHeight="1"/>
    <row r="809" ht="21" customHeight="1"/>
    <row r="810" ht="21" customHeight="1"/>
    <row r="811" ht="21" customHeight="1"/>
    <row r="812" ht="21" customHeight="1"/>
    <row r="813" ht="21" customHeight="1"/>
    <row r="814" ht="21" customHeight="1"/>
    <row r="815" ht="21" customHeight="1"/>
    <row r="816" ht="21" customHeight="1"/>
    <row r="817" ht="21" customHeight="1"/>
    <row r="818" ht="21" customHeight="1"/>
    <row r="819" ht="21" customHeight="1"/>
    <row r="820" ht="21" customHeight="1"/>
    <row r="821" ht="21" customHeight="1"/>
    <row r="822" ht="21" customHeight="1"/>
    <row r="823" ht="21" customHeight="1"/>
    <row r="824" ht="21" customHeight="1"/>
    <row r="825" ht="21" customHeight="1"/>
    <row r="826" ht="21" customHeight="1"/>
    <row r="827" ht="21" customHeight="1"/>
    <row r="828" ht="21" customHeight="1"/>
    <row r="829" ht="21" customHeight="1"/>
    <row r="830" ht="21" customHeight="1"/>
    <row r="831" ht="21" customHeight="1"/>
    <row r="832" ht="21" customHeight="1"/>
    <row r="833" ht="21" customHeight="1"/>
    <row r="834" ht="21" customHeight="1"/>
    <row r="835" ht="21" customHeight="1"/>
    <row r="836" ht="21" customHeight="1"/>
    <row r="837" ht="21" customHeight="1"/>
    <row r="838" ht="21" customHeight="1"/>
    <row r="839" ht="21" customHeight="1"/>
    <row r="840" ht="21" customHeight="1"/>
    <row r="841" ht="21" customHeight="1"/>
    <row r="842" ht="21" customHeight="1"/>
    <row r="843" ht="21" customHeight="1"/>
    <row r="844" ht="21" customHeight="1"/>
    <row r="845" ht="21" customHeight="1"/>
    <row r="846" ht="21" customHeight="1"/>
    <row r="847" ht="21" customHeight="1"/>
    <row r="848" ht="21" customHeight="1"/>
    <row r="849" ht="21" customHeight="1"/>
    <row r="850" ht="21" customHeight="1"/>
    <row r="851" ht="21" customHeight="1"/>
    <row r="852" ht="21" customHeight="1"/>
    <row r="853" ht="21" customHeight="1"/>
    <row r="854" ht="21" customHeight="1"/>
    <row r="855" ht="21" customHeight="1"/>
    <row r="856" ht="21" customHeight="1"/>
    <row r="857" ht="21" customHeight="1"/>
    <row r="858" ht="21" customHeight="1"/>
    <row r="859" ht="21" customHeight="1"/>
    <row r="860" ht="21" customHeight="1"/>
    <row r="861" ht="21" customHeight="1"/>
    <row r="862" ht="21" customHeight="1"/>
    <row r="863" ht="21" customHeight="1"/>
    <row r="864" ht="21" customHeight="1"/>
    <row r="865" ht="21" customHeight="1"/>
    <row r="866" ht="21" customHeight="1"/>
    <row r="867" ht="21" customHeight="1"/>
    <row r="868" ht="21" customHeight="1"/>
    <row r="869" ht="21" customHeight="1"/>
    <row r="870" ht="21" customHeight="1"/>
    <row r="871" ht="21" customHeight="1"/>
    <row r="872" ht="21" customHeight="1"/>
    <row r="873" ht="21" customHeight="1"/>
    <row r="874" ht="21" customHeight="1"/>
    <row r="875" ht="21" customHeight="1"/>
    <row r="876" ht="21" customHeight="1"/>
    <row r="877" ht="21" customHeight="1"/>
    <row r="878" ht="21" customHeight="1"/>
    <row r="879" ht="21" customHeight="1"/>
    <row r="880" ht="21" customHeight="1"/>
    <row r="881" ht="21" customHeight="1"/>
    <row r="882" ht="21" customHeight="1"/>
    <row r="883" ht="21" customHeight="1"/>
    <row r="884" ht="21" customHeight="1"/>
    <row r="885" ht="21" customHeight="1"/>
    <row r="886" ht="21" customHeight="1"/>
    <row r="887" ht="21" customHeight="1"/>
    <row r="888" ht="21" customHeight="1"/>
    <row r="889" ht="21" customHeight="1"/>
    <row r="890" ht="21" customHeight="1"/>
    <row r="891" ht="21" customHeight="1"/>
    <row r="892" ht="21" customHeight="1"/>
    <row r="893" ht="21" customHeight="1"/>
    <row r="894" ht="21" customHeight="1"/>
    <row r="895" ht="21" customHeight="1"/>
    <row r="896" ht="21" customHeight="1"/>
    <row r="897" ht="21" customHeight="1"/>
    <row r="898" ht="21" customHeight="1"/>
    <row r="899" ht="21" customHeight="1"/>
    <row r="900" ht="21" customHeight="1"/>
    <row r="901" ht="21" customHeight="1"/>
    <row r="902" ht="21" customHeight="1"/>
    <row r="903" ht="21" customHeight="1"/>
    <row r="904" ht="21" customHeight="1"/>
    <row r="905" ht="21" customHeight="1"/>
    <row r="906" ht="21" customHeight="1"/>
    <row r="907" ht="21" customHeight="1"/>
    <row r="908" ht="21" customHeight="1"/>
    <row r="909" ht="21" customHeight="1"/>
    <row r="910" ht="21" customHeight="1"/>
    <row r="911" ht="21" customHeight="1"/>
    <row r="912" ht="21" customHeight="1"/>
    <row r="913" ht="21" customHeight="1"/>
    <row r="914" ht="21" customHeight="1"/>
    <row r="915" ht="21" customHeight="1"/>
    <row r="916" ht="21" customHeight="1"/>
    <row r="917" ht="21" customHeight="1"/>
    <row r="918" ht="21" customHeight="1"/>
    <row r="919" ht="21" customHeight="1"/>
    <row r="920" ht="21" customHeight="1"/>
    <row r="921" ht="21" customHeight="1"/>
    <row r="922" ht="21" customHeight="1"/>
    <row r="923" ht="21" customHeight="1"/>
    <row r="924" ht="21" customHeight="1"/>
    <row r="925" ht="21" customHeight="1"/>
    <row r="926" ht="21" customHeight="1"/>
    <row r="927" ht="21" customHeight="1"/>
    <row r="928" ht="21" customHeight="1"/>
    <row r="929" ht="21" customHeight="1"/>
    <row r="930" ht="21" customHeight="1"/>
    <row r="931" ht="21" customHeight="1"/>
    <row r="932" ht="21" customHeight="1"/>
    <row r="933" ht="21" customHeight="1"/>
    <row r="934" ht="21" customHeight="1"/>
    <row r="935" ht="21" customHeight="1"/>
    <row r="936" ht="21" customHeight="1"/>
    <row r="937" ht="21" customHeight="1"/>
    <row r="938" ht="21" customHeight="1"/>
    <row r="939" ht="21" customHeight="1"/>
    <row r="940" ht="21" customHeight="1"/>
    <row r="941" ht="21" customHeight="1"/>
    <row r="942" ht="21" customHeight="1"/>
    <row r="943" ht="21" customHeight="1"/>
    <row r="944" ht="21" customHeight="1"/>
    <row r="945" ht="21" customHeight="1"/>
    <row r="946" ht="21" customHeight="1"/>
    <row r="947" ht="21" customHeight="1"/>
    <row r="948" ht="21" customHeight="1"/>
    <row r="949" ht="21" customHeight="1"/>
    <row r="950" ht="21" customHeight="1"/>
    <row r="951" ht="21" customHeight="1"/>
    <row r="952" ht="21" customHeight="1"/>
    <row r="953" ht="21" customHeight="1"/>
    <row r="954" ht="21" customHeight="1"/>
    <row r="955" ht="21" customHeight="1"/>
    <row r="956" ht="21" customHeight="1"/>
    <row r="957" ht="21" customHeight="1"/>
    <row r="958" ht="21" customHeight="1"/>
    <row r="959" ht="21" customHeight="1"/>
    <row r="960" ht="21" customHeight="1"/>
    <row r="961" ht="21" customHeight="1"/>
    <row r="962" ht="21" customHeight="1"/>
    <row r="963" ht="21" customHeight="1"/>
    <row r="964" ht="21" customHeight="1"/>
    <row r="965" ht="21" customHeight="1"/>
    <row r="966" ht="21" customHeight="1"/>
    <row r="967" ht="21" customHeight="1"/>
    <row r="968" ht="21" customHeight="1"/>
    <row r="969" ht="21" customHeight="1"/>
    <row r="970" ht="21" customHeight="1"/>
    <row r="971" ht="21" customHeight="1"/>
    <row r="972" ht="21" customHeight="1"/>
    <row r="973" ht="21" customHeight="1"/>
    <row r="974" ht="21" customHeight="1"/>
    <row r="975" ht="21" customHeight="1"/>
    <row r="976" ht="21" customHeight="1"/>
    <row r="977" ht="21" customHeight="1"/>
    <row r="978" ht="21" customHeight="1"/>
    <row r="979" ht="21" customHeight="1"/>
    <row r="980" ht="21" customHeight="1"/>
    <row r="981" ht="21" customHeight="1"/>
    <row r="982" ht="21" customHeight="1"/>
    <row r="983" ht="21" customHeight="1"/>
    <row r="984" ht="21" customHeight="1"/>
    <row r="985" ht="21" customHeight="1"/>
    <row r="986" ht="21" customHeight="1"/>
    <row r="987" ht="21" customHeight="1"/>
    <row r="988" ht="21" customHeight="1"/>
    <row r="989" ht="21" customHeight="1"/>
    <row r="990" ht="21" customHeight="1"/>
    <row r="991" ht="21" customHeight="1"/>
    <row r="992" ht="21" customHeight="1"/>
    <row r="993" ht="21" customHeight="1"/>
    <row r="994" ht="21" customHeight="1"/>
    <row r="995" ht="21" customHeight="1"/>
    <row r="996" ht="21" customHeight="1"/>
    <row r="997" ht="21" customHeight="1"/>
    <row r="998" ht="21" customHeight="1"/>
    <row r="999" ht="21" customHeight="1"/>
    <row r="1000" ht="21" customHeight="1"/>
  </sheetData>
  <conditionalFormatting sqref="N2:N15">
    <cfRule type="expression" dxfId="42" priority="1">
      <formula>N2="Pass"</formula>
    </cfRule>
  </conditionalFormatting>
  <conditionalFormatting sqref="N2:N15">
    <cfRule type="expression" dxfId="41" priority="2">
      <formula>N2="Fail"</formula>
    </cfRule>
  </conditionalFormatting>
  <conditionalFormatting sqref="N2:N15">
    <cfRule type="expression" dxfId="40" priority="3">
      <formula>N2="Blocked"</formula>
    </cfRule>
  </conditionalFormatting>
  <conditionalFormatting sqref="Q2:Q15">
    <cfRule type="expression" dxfId="39" priority="4">
      <formula>Q2="Yes"</formula>
    </cfRule>
  </conditionalFormatting>
  <conditionalFormatting sqref="Q2:Q15">
    <cfRule type="expression" dxfId="38" priority="5">
      <formula>Q2="Later"</formula>
    </cfRule>
  </conditionalFormatting>
  <conditionalFormatting sqref="Q2:Q15">
    <cfRule type="expression" dxfId="37" priority="6">
      <formula>Q2="No"</formula>
    </cfRule>
  </conditionalFormatting>
  <conditionalFormatting sqref="O2:O15">
    <cfRule type="expression" dxfId="36" priority="7">
      <formula>O2="High"</formula>
    </cfRule>
  </conditionalFormatting>
  <dataValidations count="4">
    <dataValidation type="list" allowBlank="1" sqref="R2:R15" xr:uid="{00000000-0002-0000-0200-000000000000}">
      <formula1>"P1,P2,P3,P4"</formula1>
    </dataValidation>
    <dataValidation type="list" allowBlank="1" sqref="O2:O15" xr:uid="{00000000-0002-0000-0200-000001000000}">
      <formula1>"High,Medium,Low"</formula1>
    </dataValidation>
    <dataValidation type="list" allowBlank="1" sqref="N2:N15" xr:uid="{00000000-0002-0000-0200-000002000000}">
      <formula1>"Not Run,Pass,Fail,Blocked,Retest"</formula1>
    </dataValidation>
    <dataValidation type="list" allowBlank="1" sqref="Q2:Q15" xr:uid="{00000000-0002-0000-0200-000003000000}">
      <formula1>"Yes,Later,No"</formula1>
    </dataValidation>
  </dataValidations>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8" workbookViewId="0">
      <selection activeCell="L12" sqref="L12"/>
    </sheetView>
  </sheetViews>
  <sheetFormatPr baseColWidth="10" defaultColWidth="12.6640625" defaultRowHeight="15"/>
  <cols>
    <col min="1" max="1" width="16" customWidth="1"/>
    <col min="2" max="2" width="10" customWidth="1"/>
    <col min="3" max="3" width="28" customWidth="1"/>
    <col min="4" max="4" width="10" customWidth="1"/>
    <col min="5" max="5" width="26" customWidth="1"/>
    <col min="6" max="6" width="12" customWidth="1"/>
    <col min="7" max="7" width="28" customWidth="1"/>
    <col min="8" max="8" width="42" customWidth="1"/>
    <col min="9" max="9" width="38" customWidth="1"/>
    <col min="10" max="10" width="52" customWidth="1"/>
    <col min="11" max="11" width="34" customWidth="1"/>
    <col min="12" max="13" width="44" customWidth="1"/>
    <col min="14" max="14" width="12" customWidth="1"/>
    <col min="15" max="15" width="10" customWidth="1"/>
    <col min="16" max="16" width="22" customWidth="1"/>
    <col min="17" max="17" width="20" customWidth="1"/>
    <col min="18" max="19" width="12" customWidth="1"/>
    <col min="20" max="20" width="36" customWidth="1"/>
    <col min="21" max="21" width="30" customWidth="1"/>
    <col min="22" max="22" width="42" customWidth="1"/>
    <col min="23" max="26" width="8.6640625" customWidth="1"/>
  </cols>
  <sheetData>
    <row r="1" spans="1:26" ht="42" customHeight="1">
      <c r="A1" s="2" t="s">
        <v>62</v>
      </c>
      <c r="B1" s="2" t="s">
        <v>17</v>
      </c>
      <c r="C1" s="2" t="s">
        <v>18</v>
      </c>
      <c r="D1" s="2" t="s">
        <v>63</v>
      </c>
      <c r="E1" s="2" t="s">
        <v>64</v>
      </c>
      <c r="F1" s="2" t="s">
        <v>65</v>
      </c>
      <c r="G1" s="2" t="s">
        <v>66</v>
      </c>
      <c r="H1" s="2" t="s">
        <v>67</v>
      </c>
      <c r="I1" s="2" t="s">
        <v>68</v>
      </c>
      <c r="J1" s="2" t="s">
        <v>69</v>
      </c>
      <c r="K1" s="2" t="s">
        <v>70</v>
      </c>
      <c r="L1" s="2" t="s">
        <v>71</v>
      </c>
      <c r="M1" s="2" t="s">
        <v>72</v>
      </c>
      <c r="N1" s="2" t="s">
        <v>73</v>
      </c>
      <c r="O1" s="2" t="s">
        <v>74</v>
      </c>
      <c r="P1" s="2" t="s">
        <v>75</v>
      </c>
      <c r="Q1" s="2" t="s">
        <v>76</v>
      </c>
      <c r="R1" s="2" t="s">
        <v>77</v>
      </c>
      <c r="S1" s="2" t="s">
        <v>78</v>
      </c>
      <c r="T1" s="2" t="s">
        <v>79</v>
      </c>
      <c r="U1" s="2" t="s">
        <v>80</v>
      </c>
      <c r="V1" s="2" t="s">
        <v>81</v>
      </c>
    </row>
    <row r="2" spans="1:26" ht="128" customHeight="1">
      <c r="A2" s="5" t="s">
        <v>289</v>
      </c>
      <c r="B2" s="5" t="s">
        <v>34</v>
      </c>
      <c r="C2" s="5" t="s">
        <v>35</v>
      </c>
      <c r="D2" s="5" t="s">
        <v>290</v>
      </c>
      <c r="E2" s="5" t="s">
        <v>291</v>
      </c>
      <c r="F2" s="5" t="s">
        <v>130</v>
      </c>
      <c r="G2" s="5" t="s">
        <v>292</v>
      </c>
      <c r="H2" s="5" t="s">
        <v>293</v>
      </c>
      <c r="I2" s="5" t="s">
        <v>294</v>
      </c>
      <c r="J2" s="5" t="s">
        <v>295</v>
      </c>
      <c r="K2" s="5" t="s">
        <v>210</v>
      </c>
      <c r="L2" s="5" t="s">
        <v>296</v>
      </c>
      <c r="M2" s="5"/>
      <c r="N2" s="5" t="s">
        <v>25</v>
      </c>
      <c r="O2" s="5" t="s">
        <v>91</v>
      </c>
      <c r="P2" s="5" t="s">
        <v>92</v>
      </c>
      <c r="Q2" s="5" t="s">
        <v>116</v>
      </c>
      <c r="R2" s="5" t="s">
        <v>117</v>
      </c>
      <c r="S2" s="5"/>
      <c r="T2" s="5"/>
      <c r="U2" s="5" t="s">
        <v>297</v>
      </c>
      <c r="V2" s="5" t="s">
        <v>96</v>
      </c>
      <c r="W2" s="7"/>
      <c r="X2" s="7"/>
      <c r="Y2" s="7"/>
      <c r="Z2" s="7"/>
    </row>
    <row r="3" spans="1:26" ht="128" customHeight="1">
      <c r="A3" s="5" t="s">
        <v>298</v>
      </c>
      <c r="B3" s="5" t="s">
        <v>34</v>
      </c>
      <c r="C3" s="5" t="s">
        <v>35</v>
      </c>
      <c r="D3" s="5" t="s">
        <v>290</v>
      </c>
      <c r="E3" s="5" t="s">
        <v>291</v>
      </c>
      <c r="F3" s="5" t="s">
        <v>138</v>
      </c>
      <c r="G3" s="5" t="s">
        <v>299</v>
      </c>
      <c r="H3" s="5" t="s">
        <v>300</v>
      </c>
      <c r="I3" s="5" t="s">
        <v>301</v>
      </c>
      <c r="J3" s="5" t="s">
        <v>302</v>
      </c>
      <c r="K3" s="5" t="s">
        <v>303</v>
      </c>
      <c r="L3" s="5" t="s">
        <v>304</v>
      </c>
      <c r="M3" s="5"/>
      <c r="N3" s="5" t="s">
        <v>25</v>
      </c>
      <c r="O3" s="5" t="s">
        <v>91</v>
      </c>
      <c r="P3" s="5" t="s">
        <v>92</v>
      </c>
      <c r="Q3" s="5" t="s">
        <v>93</v>
      </c>
      <c r="R3" s="5" t="s">
        <v>94</v>
      </c>
      <c r="S3" s="5"/>
      <c r="T3" s="5"/>
      <c r="U3" s="5" t="s">
        <v>305</v>
      </c>
      <c r="V3" s="5" t="s">
        <v>96</v>
      </c>
      <c r="W3" s="7"/>
      <c r="X3" s="7"/>
      <c r="Y3" s="7"/>
      <c r="Z3" s="7"/>
    </row>
    <row r="4" spans="1:26" ht="128" customHeight="1">
      <c r="A4" s="5" t="s">
        <v>306</v>
      </c>
      <c r="B4" s="5" t="s">
        <v>34</v>
      </c>
      <c r="C4" s="5" t="s">
        <v>35</v>
      </c>
      <c r="D4" s="5" t="s">
        <v>290</v>
      </c>
      <c r="E4" s="5" t="s">
        <v>291</v>
      </c>
      <c r="F4" s="5" t="s">
        <v>138</v>
      </c>
      <c r="G4" s="5" t="s">
        <v>307</v>
      </c>
      <c r="H4" s="5" t="s">
        <v>308</v>
      </c>
      <c r="I4" s="5" t="s">
        <v>309</v>
      </c>
      <c r="J4" s="5" t="s">
        <v>310</v>
      </c>
      <c r="K4" s="5" t="s">
        <v>311</v>
      </c>
      <c r="L4" s="5" t="s">
        <v>312</v>
      </c>
      <c r="M4" s="5"/>
      <c r="N4" s="5" t="s">
        <v>25</v>
      </c>
      <c r="O4" s="5" t="s">
        <v>114</v>
      </c>
      <c r="P4" s="5" t="s">
        <v>313</v>
      </c>
      <c r="Q4" s="5" t="s">
        <v>116</v>
      </c>
      <c r="R4" s="5" t="s">
        <v>117</v>
      </c>
      <c r="S4" s="5"/>
      <c r="T4" s="5"/>
      <c r="U4" s="5" t="s">
        <v>305</v>
      </c>
      <c r="V4" s="5" t="s">
        <v>96</v>
      </c>
      <c r="W4" s="7"/>
      <c r="X4" s="7"/>
      <c r="Y4" s="7"/>
      <c r="Z4" s="7"/>
    </row>
    <row r="5" spans="1:26" ht="128" customHeight="1">
      <c r="A5" s="5" t="s">
        <v>314</v>
      </c>
      <c r="B5" s="5" t="s">
        <v>34</v>
      </c>
      <c r="C5" s="5" t="s">
        <v>35</v>
      </c>
      <c r="D5" s="5" t="s">
        <v>315</v>
      </c>
      <c r="E5" s="5" t="s">
        <v>316</v>
      </c>
      <c r="F5" s="5" t="s">
        <v>130</v>
      </c>
      <c r="G5" s="5" t="s">
        <v>317</v>
      </c>
      <c r="H5" s="5" t="s">
        <v>318</v>
      </c>
      <c r="I5" s="5" t="s">
        <v>208</v>
      </c>
      <c r="J5" s="5" t="s">
        <v>319</v>
      </c>
      <c r="K5" s="5" t="s">
        <v>320</v>
      </c>
      <c r="L5" s="5" t="s">
        <v>321</v>
      </c>
      <c r="M5" s="5"/>
      <c r="N5" s="5" t="s">
        <v>25</v>
      </c>
      <c r="O5" s="5" t="s">
        <v>91</v>
      </c>
      <c r="P5" s="5" t="s">
        <v>92</v>
      </c>
      <c r="Q5" s="5" t="s">
        <v>93</v>
      </c>
      <c r="R5" s="5" t="s">
        <v>94</v>
      </c>
      <c r="S5" s="5"/>
      <c r="T5" s="5"/>
      <c r="U5" s="5" t="s">
        <v>322</v>
      </c>
      <c r="V5" s="5" t="s">
        <v>96</v>
      </c>
      <c r="W5" s="7"/>
      <c r="X5" s="7"/>
      <c r="Y5" s="7"/>
      <c r="Z5" s="7"/>
    </row>
    <row r="6" spans="1:26" ht="128" customHeight="1">
      <c r="A6" s="5" t="s">
        <v>323</v>
      </c>
      <c r="B6" s="5" t="s">
        <v>34</v>
      </c>
      <c r="C6" s="5" t="s">
        <v>35</v>
      </c>
      <c r="D6" s="5" t="s">
        <v>315</v>
      </c>
      <c r="E6" s="5" t="s">
        <v>316</v>
      </c>
      <c r="F6" s="5" t="s">
        <v>130</v>
      </c>
      <c r="G6" s="5" t="s">
        <v>324</v>
      </c>
      <c r="H6" s="5" t="s">
        <v>325</v>
      </c>
      <c r="I6" s="5" t="s">
        <v>208</v>
      </c>
      <c r="J6" s="5" t="s">
        <v>326</v>
      </c>
      <c r="K6" s="5" t="s">
        <v>327</v>
      </c>
      <c r="L6" s="5" t="s">
        <v>328</v>
      </c>
      <c r="M6" s="5"/>
      <c r="N6" s="5" t="s">
        <v>25</v>
      </c>
      <c r="O6" s="5" t="s">
        <v>114</v>
      </c>
      <c r="P6" s="5" t="s">
        <v>92</v>
      </c>
      <c r="Q6" s="5" t="s">
        <v>116</v>
      </c>
      <c r="R6" s="5" t="s">
        <v>117</v>
      </c>
      <c r="S6" s="5"/>
      <c r="T6" s="5"/>
      <c r="U6" s="5" t="s">
        <v>329</v>
      </c>
      <c r="V6" s="5" t="s">
        <v>96</v>
      </c>
      <c r="W6" s="7"/>
      <c r="X6" s="7"/>
      <c r="Y6" s="7"/>
      <c r="Z6" s="7"/>
    </row>
    <row r="7" spans="1:26" ht="128" customHeight="1">
      <c r="A7" s="5" t="s">
        <v>330</v>
      </c>
      <c r="B7" s="5" t="s">
        <v>34</v>
      </c>
      <c r="C7" s="5" t="s">
        <v>35</v>
      </c>
      <c r="D7" s="5" t="s">
        <v>331</v>
      </c>
      <c r="E7" s="5" t="s">
        <v>332</v>
      </c>
      <c r="F7" s="5" t="s">
        <v>130</v>
      </c>
      <c r="G7" s="5" t="s">
        <v>333</v>
      </c>
      <c r="H7" s="5" t="s">
        <v>334</v>
      </c>
      <c r="I7" s="5" t="s">
        <v>335</v>
      </c>
      <c r="J7" s="5" t="s">
        <v>336</v>
      </c>
      <c r="K7" s="5" t="s">
        <v>337</v>
      </c>
      <c r="L7" s="5" t="s">
        <v>338</v>
      </c>
      <c r="M7" s="5"/>
      <c r="N7" s="5" t="s">
        <v>25</v>
      </c>
      <c r="O7" s="5" t="s">
        <v>91</v>
      </c>
      <c r="P7" s="5" t="s">
        <v>92</v>
      </c>
      <c r="Q7" s="5" t="s">
        <v>93</v>
      </c>
      <c r="R7" s="5" t="s">
        <v>94</v>
      </c>
      <c r="S7" s="5"/>
      <c r="T7" s="5"/>
      <c r="U7" s="5" t="s">
        <v>339</v>
      </c>
      <c r="V7" s="5" t="s">
        <v>96</v>
      </c>
      <c r="W7" s="7"/>
      <c r="X7" s="7"/>
      <c r="Y7" s="7"/>
      <c r="Z7" s="7"/>
    </row>
    <row r="8" spans="1:26" ht="128" customHeight="1">
      <c r="A8" s="5" t="s">
        <v>340</v>
      </c>
      <c r="B8" s="5" t="s">
        <v>34</v>
      </c>
      <c r="C8" s="5" t="s">
        <v>35</v>
      </c>
      <c r="D8" s="5" t="s">
        <v>331</v>
      </c>
      <c r="E8" s="5" t="s">
        <v>332</v>
      </c>
      <c r="F8" s="5" t="s">
        <v>130</v>
      </c>
      <c r="G8" s="5" t="s">
        <v>341</v>
      </c>
      <c r="H8" s="5" t="s">
        <v>342</v>
      </c>
      <c r="I8" s="5" t="s">
        <v>343</v>
      </c>
      <c r="J8" s="5" t="s">
        <v>344</v>
      </c>
      <c r="K8" s="5" t="s">
        <v>345</v>
      </c>
      <c r="L8" s="5" t="s">
        <v>346</v>
      </c>
      <c r="M8" s="5"/>
      <c r="N8" s="5" t="s">
        <v>25</v>
      </c>
      <c r="O8" s="5" t="s">
        <v>114</v>
      </c>
      <c r="P8" s="5" t="s">
        <v>313</v>
      </c>
      <c r="Q8" s="5" t="s">
        <v>116</v>
      </c>
      <c r="R8" s="5" t="s">
        <v>117</v>
      </c>
      <c r="S8" s="5"/>
      <c r="T8" s="5"/>
      <c r="U8" s="5" t="s">
        <v>347</v>
      </c>
      <c r="V8" s="5" t="s">
        <v>96</v>
      </c>
      <c r="W8" s="7"/>
      <c r="X8" s="7"/>
      <c r="Y8" s="7"/>
      <c r="Z8" s="7"/>
    </row>
    <row r="9" spans="1:26" ht="128" customHeight="1">
      <c r="A9" s="5" t="s">
        <v>348</v>
      </c>
      <c r="B9" s="5" t="s">
        <v>34</v>
      </c>
      <c r="C9" s="5" t="s">
        <v>35</v>
      </c>
      <c r="D9" s="5" t="s">
        <v>349</v>
      </c>
      <c r="E9" s="5" t="s">
        <v>350</v>
      </c>
      <c r="F9" s="5" t="s">
        <v>130</v>
      </c>
      <c r="G9" s="5" t="s">
        <v>351</v>
      </c>
      <c r="H9" s="5" t="s">
        <v>352</v>
      </c>
      <c r="I9" s="5" t="s">
        <v>353</v>
      </c>
      <c r="J9" s="5" t="s">
        <v>354</v>
      </c>
      <c r="K9" s="5" t="s">
        <v>628</v>
      </c>
      <c r="L9" s="5" t="s">
        <v>355</v>
      </c>
      <c r="M9" s="5"/>
      <c r="N9" s="5" t="s">
        <v>25</v>
      </c>
      <c r="O9" s="5" t="s">
        <v>91</v>
      </c>
      <c r="P9" s="5" t="s">
        <v>313</v>
      </c>
      <c r="Q9" s="5" t="s">
        <v>93</v>
      </c>
      <c r="R9" s="5" t="s">
        <v>94</v>
      </c>
      <c r="S9" s="5"/>
      <c r="T9" s="5"/>
      <c r="U9" s="5" t="s">
        <v>356</v>
      </c>
      <c r="V9" s="5" t="s">
        <v>96</v>
      </c>
      <c r="W9" s="7"/>
      <c r="X9" s="7"/>
      <c r="Y9" s="7"/>
      <c r="Z9" s="7"/>
    </row>
    <row r="21" ht="21" customHeight="1"/>
    <row r="22" ht="21" customHeight="1"/>
    <row r="23" ht="21" customHeight="1"/>
    <row r="24" ht="21" customHeight="1"/>
    <row r="25" ht="21" customHeight="1"/>
    <row r="26" ht="21" customHeight="1"/>
    <row r="27" ht="21" customHeight="1"/>
    <row r="28" ht="21" customHeight="1"/>
    <row r="29" ht="21" customHeight="1"/>
    <row r="30" ht="21" customHeight="1"/>
    <row r="31" ht="21" customHeight="1"/>
    <row r="32" ht="21" customHeight="1"/>
    <row r="33" ht="21" customHeight="1"/>
    <row r="34" ht="21" customHeight="1"/>
    <row r="35" ht="21" customHeight="1"/>
    <row r="36" ht="21" customHeight="1"/>
    <row r="37" ht="21" customHeight="1"/>
    <row r="38" ht="21" customHeight="1"/>
    <row r="39" ht="21" customHeight="1"/>
    <row r="40" ht="21" customHeight="1"/>
    <row r="41" ht="21" customHeight="1"/>
    <row r="42" ht="21" customHeight="1"/>
    <row r="43" ht="21" customHeight="1"/>
    <row r="44" ht="21" customHeight="1"/>
    <row r="45" ht="21" customHeight="1"/>
    <row r="46" ht="21" customHeight="1"/>
    <row r="47" ht="21" customHeight="1"/>
    <row r="48"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row r="350" ht="21" customHeight="1"/>
    <row r="351" ht="21" customHeight="1"/>
    <row r="352" ht="21" customHeight="1"/>
    <row r="353" ht="21" customHeight="1"/>
    <row r="354" ht="21" customHeight="1"/>
    <row r="355" ht="21" customHeight="1"/>
    <row r="356" ht="21" customHeight="1"/>
    <row r="357" ht="21" customHeight="1"/>
    <row r="358" ht="21" customHeight="1"/>
    <row r="359" ht="21" customHeight="1"/>
    <row r="360" ht="21" customHeight="1"/>
    <row r="361" ht="21" customHeight="1"/>
    <row r="362" ht="21" customHeight="1"/>
    <row r="363" ht="21" customHeight="1"/>
    <row r="364" ht="21" customHeight="1"/>
    <row r="365" ht="21" customHeight="1"/>
    <row r="366" ht="21" customHeight="1"/>
    <row r="367" ht="21" customHeight="1"/>
    <row r="368" ht="21" customHeight="1"/>
    <row r="369" ht="21" customHeight="1"/>
    <row r="370" ht="21" customHeight="1"/>
    <row r="371" ht="21" customHeight="1"/>
    <row r="372" ht="21" customHeight="1"/>
    <row r="373" ht="21" customHeight="1"/>
    <row r="374" ht="21" customHeight="1"/>
    <row r="375" ht="21" customHeight="1"/>
    <row r="376" ht="21" customHeight="1"/>
    <row r="377" ht="21" customHeight="1"/>
    <row r="378" ht="21" customHeight="1"/>
    <row r="379" ht="21" customHeight="1"/>
    <row r="380" ht="21" customHeight="1"/>
    <row r="381" ht="21" customHeight="1"/>
    <row r="382" ht="21" customHeight="1"/>
    <row r="383" ht="21" customHeight="1"/>
    <row r="384" ht="21" customHeight="1"/>
    <row r="385" ht="21" customHeight="1"/>
    <row r="386" ht="21" customHeight="1"/>
    <row r="387" ht="21" customHeight="1"/>
    <row r="388" ht="21" customHeight="1"/>
    <row r="389" ht="21" customHeight="1"/>
    <row r="390" ht="21" customHeight="1"/>
    <row r="391" ht="21" customHeight="1"/>
    <row r="392" ht="21" customHeight="1"/>
    <row r="393" ht="21" customHeight="1"/>
    <row r="394" ht="21" customHeight="1"/>
    <row r="395" ht="21" customHeight="1"/>
    <row r="396" ht="21" customHeight="1"/>
    <row r="397" ht="21" customHeight="1"/>
    <row r="398" ht="21" customHeight="1"/>
    <row r="399" ht="21" customHeight="1"/>
    <row r="400" ht="21" customHeight="1"/>
    <row r="401" ht="21" customHeight="1"/>
    <row r="402" ht="21" customHeight="1"/>
    <row r="403" ht="21" customHeight="1"/>
    <row r="404" ht="21" customHeight="1"/>
    <row r="405" ht="21" customHeight="1"/>
    <row r="406" ht="21" customHeight="1"/>
    <row r="407" ht="21" customHeight="1"/>
    <row r="408" ht="21" customHeight="1"/>
    <row r="409" ht="21" customHeight="1"/>
    <row r="410" ht="21" customHeight="1"/>
    <row r="411" ht="21" customHeight="1"/>
    <row r="412" ht="21" customHeight="1"/>
    <row r="413" ht="21" customHeight="1"/>
    <row r="414" ht="21" customHeight="1"/>
    <row r="415" ht="21" customHeight="1"/>
    <row r="416" ht="21" customHeight="1"/>
    <row r="417" ht="21" customHeight="1"/>
    <row r="418" ht="21" customHeight="1"/>
    <row r="419" ht="21" customHeight="1"/>
    <row r="420" ht="21" customHeight="1"/>
    <row r="421" ht="21" customHeight="1"/>
    <row r="422" ht="21" customHeight="1"/>
    <row r="423" ht="21" customHeight="1"/>
    <row r="424" ht="21" customHeight="1"/>
    <row r="425" ht="21" customHeight="1"/>
    <row r="426" ht="21" customHeight="1"/>
    <row r="427" ht="21" customHeight="1"/>
    <row r="428" ht="21" customHeight="1"/>
    <row r="429" ht="21" customHeight="1"/>
    <row r="430" ht="21" customHeight="1"/>
    <row r="431" ht="21" customHeight="1"/>
    <row r="432" ht="21" customHeight="1"/>
    <row r="433" ht="21" customHeight="1"/>
    <row r="434" ht="21" customHeight="1"/>
    <row r="435" ht="21" customHeight="1"/>
    <row r="436" ht="21" customHeight="1"/>
    <row r="437" ht="21" customHeight="1"/>
    <row r="438" ht="21" customHeight="1"/>
    <row r="439" ht="21" customHeight="1"/>
    <row r="440" ht="21" customHeight="1"/>
    <row r="441" ht="21" customHeight="1"/>
    <row r="442" ht="21" customHeight="1"/>
    <row r="443" ht="21" customHeight="1"/>
    <row r="444" ht="21" customHeight="1"/>
    <row r="445" ht="21" customHeight="1"/>
    <row r="446" ht="21" customHeight="1"/>
    <row r="447" ht="21" customHeight="1"/>
    <row r="448" ht="21" customHeight="1"/>
    <row r="449" ht="21" customHeight="1"/>
    <row r="450" ht="21" customHeight="1"/>
    <row r="451" ht="21" customHeight="1"/>
    <row r="452" ht="21" customHeight="1"/>
    <row r="453" ht="21" customHeight="1"/>
    <row r="454" ht="21" customHeight="1"/>
    <row r="455" ht="21" customHeight="1"/>
    <row r="456" ht="21" customHeight="1"/>
    <row r="457" ht="21" customHeight="1"/>
    <row r="458" ht="21" customHeight="1"/>
    <row r="459" ht="21" customHeight="1"/>
    <row r="460" ht="21" customHeight="1"/>
    <row r="461" ht="21" customHeight="1"/>
    <row r="462" ht="21" customHeight="1"/>
    <row r="463" ht="21" customHeight="1"/>
    <row r="464" ht="21" customHeight="1"/>
    <row r="465" ht="21" customHeight="1"/>
    <row r="466" ht="21" customHeight="1"/>
    <row r="467" ht="21" customHeight="1"/>
    <row r="468" ht="21" customHeight="1"/>
    <row r="469" ht="21" customHeight="1"/>
    <row r="470" ht="21" customHeight="1"/>
    <row r="471" ht="21" customHeight="1"/>
    <row r="472" ht="21" customHeight="1"/>
    <row r="473" ht="21" customHeight="1"/>
    <row r="474" ht="21" customHeight="1"/>
    <row r="475" ht="21" customHeight="1"/>
    <row r="476" ht="21" customHeight="1"/>
    <row r="477" ht="21" customHeight="1"/>
    <row r="478" ht="21" customHeight="1"/>
    <row r="479" ht="21" customHeight="1"/>
    <row r="480" ht="21" customHeight="1"/>
    <row r="481" ht="21" customHeight="1"/>
    <row r="482" ht="21" customHeight="1"/>
    <row r="483" ht="21" customHeight="1"/>
    <row r="484" ht="21" customHeight="1"/>
    <row r="485" ht="21" customHeight="1"/>
    <row r="486" ht="21" customHeight="1"/>
    <row r="487" ht="21" customHeight="1"/>
    <row r="488" ht="21" customHeight="1"/>
    <row r="489" ht="21" customHeight="1"/>
    <row r="490" ht="21" customHeight="1"/>
    <row r="491" ht="21" customHeight="1"/>
    <row r="492" ht="21" customHeight="1"/>
    <row r="493" ht="21" customHeight="1"/>
    <row r="494" ht="21" customHeight="1"/>
    <row r="495" ht="21" customHeight="1"/>
    <row r="496" ht="21" customHeight="1"/>
    <row r="497" ht="21" customHeight="1"/>
    <row r="498" ht="21" customHeight="1"/>
    <row r="499" ht="21" customHeight="1"/>
    <row r="500" ht="21" customHeight="1"/>
    <row r="501" ht="21" customHeight="1"/>
    <row r="502" ht="21" customHeight="1"/>
    <row r="503" ht="21" customHeight="1"/>
    <row r="504" ht="21" customHeight="1"/>
    <row r="505" ht="21" customHeight="1"/>
    <row r="506" ht="21" customHeight="1"/>
    <row r="507" ht="21" customHeight="1"/>
    <row r="508" ht="21" customHeight="1"/>
    <row r="509" ht="21" customHeight="1"/>
    <row r="510" ht="21" customHeight="1"/>
    <row r="511" ht="21" customHeight="1"/>
    <row r="512" ht="21" customHeight="1"/>
    <row r="513" ht="21" customHeight="1"/>
    <row r="514" ht="21" customHeight="1"/>
    <row r="515" ht="21" customHeight="1"/>
    <row r="516" ht="21" customHeight="1"/>
    <row r="517" ht="21" customHeight="1"/>
    <row r="518" ht="21" customHeight="1"/>
    <row r="519" ht="21" customHeight="1"/>
    <row r="520" ht="21" customHeight="1"/>
    <row r="521" ht="21" customHeight="1"/>
    <row r="522" ht="21" customHeight="1"/>
    <row r="523" ht="21" customHeight="1"/>
    <row r="524" ht="21" customHeight="1"/>
    <row r="525" ht="21" customHeight="1"/>
    <row r="526" ht="21" customHeight="1"/>
    <row r="527" ht="21" customHeight="1"/>
    <row r="528" ht="21" customHeight="1"/>
    <row r="529" ht="21" customHeight="1"/>
    <row r="530" ht="21" customHeight="1"/>
    <row r="531" ht="21" customHeight="1"/>
    <row r="532" ht="21" customHeight="1"/>
    <row r="533" ht="21" customHeight="1"/>
    <row r="534" ht="21" customHeight="1"/>
    <row r="535" ht="21" customHeight="1"/>
    <row r="536" ht="21" customHeight="1"/>
    <row r="537" ht="21" customHeight="1"/>
    <row r="538" ht="21" customHeight="1"/>
    <row r="539" ht="21" customHeight="1"/>
    <row r="540" ht="21" customHeight="1"/>
    <row r="541" ht="21" customHeight="1"/>
    <row r="542" ht="21" customHeight="1"/>
    <row r="543" ht="21" customHeight="1"/>
    <row r="544" ht="21" customHeight="1"/>
    <row r="545" ht="21" customHeight="1"/>
    <row r="546" ht="21" customHeight="1"/>
    <row r="547" ht="21" customHeight="1"/>
    <row r="548" ht="21" customHeight="1"/>
    <row r="549" ht="21" customHeight="1"/>
    <row r="550" ht="21" customHeight="1"/>
    <row r="551" ht="21" customHeight="1"/>
    <row r="552" ht="21" customHeight="1"/>
    <row r="553" ht="21" customHeight="1"/>
    <row r="554" ht="21" customHeight="1"/>
    <row r="555" ht="21" customHeight="1"/>
    <row r="556" ht="21" customHeight="1"/>
    <row r="557" ht="21" customHeight="1"/>
    <row r="558" ht="21" customHeight="1"/>
    <row r="559" ht="21" customHeight="1"/>
    <row r="560" ht="21" customHeight="1"/>
    <row r="561" ht="21" customHeight="1"/>
    <row r="562" ht="21" customHeight="1"/>
    <row r="563" ht="21" customHeight="1"/>
    <row r="564" ht="21" customHeight="1"/>
    <row r="565" ht="21" customHeight="1"/>
    <row r="566" ht="21" customHeight="1"/>
    <row r="567" ht="21" customHeight="1"/>
    <row r="568" ht="21" customHeight="1"/>
    <row r="569" ht="21" customHeight="1"/>
    <row r="570" ht="21" customHeight="1"/>
    <row r="571" ht="21" customHeight="1"/>
    <row r="572" ht="21" customHeight="1"/>
    <row r="573" ht="21" customHeight="1"/>
    <row r="574" ht="21" customHeight="1"/>
    <row r="575" ht="21" customHeight="1"/>
    <row r="576" ht="21" customHeight="1"/>
    <row r="577" ht="21" customHeight="1"/>
    <row r="578" ht="21" customHeight="1"/>
    <row r="579" ht="21" customHeight="1"/>
    <row r="580" ht="21" customHeight="1"/>
    <row r="581" ht="21" customHeight="1"/>
    <row r="582" ht="21" customHeight="1"/>
    <row r="583" ht="21" customHeight="1"/>
    <row r="584" ht="21" customHeight="1"/>
    <row r="585" ht="21" customHeight="1"/>
    <row r="586" ht="21" customHeight="1"/>
    <row r="587" ht="21" customHeight="1"/>
    <row r="588" ht="21" customHeight="1"/>
    <row r="589" ht="21" customHeight="1"/>
    <row r="590" ht="21" customHeight="1"/>
    <row r="591" ht="21" customHeight="1"/>
    <row r="592" ht="21" customHeight="1"/>
    <row r="593" ht="21" customHeight="1"/>
    <row r="594" ht="21" customHeight="1"/>
    <row r="595" ht="21" customHeight="1"/>
    <row r="596" ht="21" customHeight="1"/>
    <row r="597" ht="21" customHeight="1"/>
    <row r="598" ht="21" customHeight="1"/>
    <row r="599" ht="21" customHeight="1"/>
    <row r="600" ht="21" customHeight="1"/>
    <row r="601" ht="21" customHeight="1"/>
    <row r="602" ht="21" customHeight="1"/>
    <row r="603" ht="21" customHeight="1"/>
    <row r="604" ht="21" customHeight="1"/>
    <row r="605" ht="21" customHeight="1"/>
    <row r="606" ht="21" customHeight="1"/>
    <row r="607" ht="21" customHeight="1"/>
    <row r="608" ht="21" customHeight="1"/>
    <row r="609" ht="21" customHeight="1"/>
    <row r="610" ht="21" customHeight="1"/>
    <row r="611" ht="21" customHeight="1"/>
    <row r="612" ht="21" customHeight="1"/>
    <row r="613" ht="21" customHeight="1"/>
    <row r="614" ht="21" customHeight="1"/>
    <row r="615" ht="21" customHeight="1"/>
    <row r="616" ht="21" customHeight="1"/>
    <row r="617" ht="21" customHeight="1"/>
    <row r="618" ht="21" customHeight="1"/>
    <row r="619" ht="21" customHeight="1"/>
    <row r="620" ht="21" customHeight="1"/>
    <row r="621" ht="21" customHeight="1"/>
    <row r="622" ht="21" customHeight="1"/>
    <row r="623" ht="21" customHeight="1"/>
    <row r="624" ht="21" customHeight="1"/>
    <row r="625" ht="21" customHeight="1"/>
    <row r="626" ht="21" customHeight="1"/>
    <row r="627" ht="21" customHeight="1"/>
    <row r="628" ht="21" customHeight="1"/>
    <row r="629" ht="21" customHeight="1"/>
    <row r="630" ht="21" customHeight="1"/>
    <row r="631" ht="21" customHeight="1"/>
    <row r="632" ht="21" customHeight="1"/>
    <row r="633" ht="21" customHeight="1"/>
    <row r="634" ht="21" customHeight="1"/>
    <row r="635" ht="21" customHeight="1"/>
    <row r="636" ht="21" customHeight="1"/>
    <row r="637" ht="21" customHeight="1"/>
    <row r="638" ht="21" customHeight="1"/>
    <row r="639" ht="21" customHeight="1"/>
    <row r="640" ht="21" customHeight="1"/>
    <row r="641" ht="21" customHeight="1"/>
    <row r="642" ht="21" customHeight="1"/>
    <row r="643" ht="21" customHeight="1"/>
    <row r="644" ht="21" customHeight="1"/>
    <row r="645" ht="21" customHeight="1"/>
    <row r="646" ht="21" customHeight="1"/>
    <row r="647" ht="21" customHeight="1"/>
    <row r="648" ht="21" customHeight="1"/>
    <row r="649" ht="21" customHeight="1"/>
    <row r="650" ht="21" customHeight="1"/>
    <row r="651" ht="21" customHeight="1"/>
    <row r="652" ht="21" customHeight="1"/>
    <row r="653" ht="21" customHeight="1"/>
    <row r="654" ht="21" customHeight="1"/>
    <row r="655" ht="21" customHeight="1"/>
    <row r="656" ht="21" customHeight="1"/>
    <row r="657" ht="21" customHeight="1"/>
    <row r="658" ht="21" customHeight="1"/>
    <row r="659" ht="21" customHeight="1"/>
    <row r="660" ht="21" customHeight="1"/>
    <row r="661" ht="21" customHeight="1"/>
    <row r="662" ht="21" customHeight="1"/>
    <row r="663" ht="21" customHeight="1"/>
    <row r="664" ht="21" customHeight="1"/>
    <row r="665" ht="21" customHeight="1"/>
    <row r="666" ht="21" customHeight="1"/>
    <row r="667" ht="21" customHeight="1"/>
    <row r="668" ht="21" customHeight="1"/>
    <row r="669" ht="21" customHeight="1"/>
    <row r="670" ht="21" customHeight="1"/>
    <row r="671" ht="21" customHeight="1"/>
    <row r="672" ht="21" customHeight="1"/>
    <row r="673" ht="21" customHeight="1"/>
    <row r="674" ht="21" customHeight="1"/>
    <row r="675" ht="21" customHeight="1"/>
    <row r="676" ht="21" customHeight="1"/>
    <row r="677" ht="21" customHeight="1"/>
    <row r="678" ht="21" customHeight="1"/>
    <row r="679" ht="21" customHeight="1"/>
    <row r="680" ht="21" customHeight="1"/>
    <row r="681" ht="21" customHeight="1"/>
    <row r="682" ht="21" customHeight="1"/>
    <row r="683" ht="21" customHeight="1"/>
    <row r="684" ht="21" customHeight="1"/>
    <row r="685" ht="21" customHeight="1"/>
    <row r="686" ht="21" customHeight="1"/>
    <row r="687" ht="21" customHeight="1"/>
    <row r="688" ht="21" customHeight="1"/>
    <row r="689" ht="21" customHeight="1"/>
    <row r="690" ht="21" customHeight="1"/>
    <row r="691" ht="21" customHeight="1"/>
    <row r="692" ht="21" customHeight="1"/>
    <row r="693" ht="21" customHeight="1"/>
    <row r="694" ht="21" customHeight="1"/>
    <row r="695" ht="21" customHeight="1"/>
    <row r="696" ht="21" customHeight="1"/>
    <row r="697" ht="21" customHeight="1"/>
    <row r="698" ht="21" customHeight="1"/>
    <row r="699" ht="21" customHeight="1"/>
    <row r="700" ht="21" customHeight="1"/>
    <row r="701" ht="21" customHeight="1"/>
    <row r="702" ht="21" customHeight="1"/>
    <row r="703" ht="21" customHeight="1"/>
    <row r="704" ht="21" customHeight="1"/>
    <row r="705" ht="21" customHeight="1"/>
    <row r="706" ht="21" customHeight="1"/>
    <row r="707" ht="21" customHeight="1"/>
    <row r="708" ht="21" customHeight="1"/>
    <row r="709" ht="21" customHeight="1"/>
    <row r="710" ht="21" customHeight="1"/>
    <row r="711" ht="21" customHeight="1"/>
    <row r="712" ht="21" customHeight="1"/>
    <row r="713" ht="21" customHeight="1"/>
    <row r="714" ht="21" customHeight="1"/>
    <row r="715" ht="21" customHeight="1"/>
    <row r="716" ht="21" customHeight="1"/>
    <row r="717" ht="21" customHeight="1"/>
    <row r="718" ht="21" customHeight="1"/>
    <row r="719" ht="21" customHeight="1"/>
    <row r="720" ht="21" customHeight="1"/>
    <row r="721" ht="21" customHeight="1"/>
    <row r="722" ht="21" customHeight="1"/>
    <row r="723" ht="21" customHeight="1"/>
    <row r="724" ht="21" customHeight="1"/>
    <row r="725" ht="21" customHeight="1"/>
    <row r="726" ht="21" customHeight="1"/>
    <row r="727" ht="21" customHeight="1"/>
    <row r="728" ht="21" customHeight="1"/>
    <row r="729" ht="21" customHeight="1"/>
    <row r="730" ht="21" customHeight="1"/>
    <row r="731" ht="21" customHeight="1"/>
    <row r="732" ht="21" customHeight="1"/>
    <row r="733" ht="21" customHeight="1"/>
    <row r="734" ht="21" customHeight="1"/>
    <row r="735" ht="21" customHeight="1"/>
    <row r="736" ht="21" customHeight="1"/>
    <row r="737" ht="21" customHeight="1"/>
    <row r="738" ht="21" customHeight="1"/>
    <row r="739" ht="21" customHeight="1"/>
    <row r="740" ht="21" customHeight="1"/>
    <row r="741" ht="21" customHeight="1"/>
    <row r="742" ht="21" customHeight="1"/>
    <row r="743" ht="21" customHeight="1"/>
    <row r="744" ht="21" customHeight="1"/>
    <row r="745" ht="21" customHeight="1"/>
    <row r="746" ht="21" customHeight="1"/>
    <row r="747" ht="21" customHeight="1"/>
    <row r="748" ht="21" customHeight="1"/>
    <row r="749" ht="21" customHeight="1"/>
    <row r="750" ht="21" customHeight="1"/>
    <row r="751" ht="21" customHeight="1"/>
    <row r="752" ht="21" customHeight="1"/>
    <row r="753" ht="21" customHeight="1"/>
    <row r="754" ht="21" customHeight="1"/>
    <row r="755" ht="21" customHeight="1"/>
    <row r="756" ht="21" customHeight="1"/>
    <row r="757" ht="21" customHeight="1"/>
    <row r="758" ht="21" customHeight="1"/>
    <row r="759" ht="21" customHeight="1"/>
    <row r="760" ht="21" customHeight="1"/>
    <row r="761" ht="21" customHeight="1"/>
    <row r="762" ht="21" customHeight="1"/>
    <row r="763" ht="21" customHeight="1"/>
    <row r="764" ht="21" customHeight="1"/>
    <row r="765" ht="21" customHeight="1"/>
    <row r="766" ht="21" customHeight="1"/>
    <row r="767" ht="21" customHeight="1"/>
    <row r="768" ht="21" customHeight="1"/>
    <row r="769" ht="21" customHeight="1"/>
    <row r="770" ht="21" customHeight="1"/>
    <row r="771" ht="21" customHeight="1"/>
    <row r="772" ht="21" customHeight="1"/>
    <row r="773" ht="21" customHeight="1"/>
    <row r="774" ht="21" customHeight="1"/>
    <row r="775" ht="21" customHeight="1"/>
    <row r="776" ht="21" customHeight="1"/>
    <row r="777" ht="21" customHeight="1"/>
    <row r="778" ht="21" customHeight="1"/>
    <row r="779" ht="21" customHeight="1"/>
    <row r="780" ht="21" customHeight="1"/>
    <row r="781" ht="21" customHeight="1"/>
    <row r="782" ht="21" customHeight="1"/>
    <row r="783" ht="21" customHeight="1"/>
    <row r="784" ht="21" customHeight="1"/>
    <row r="785" ht="21" customHeight="1"/>
    <row r="786" ht="21" customHeight="1"/>
    <row r="787" ht="21" customHeight="1"/>
    <row r="788" ht="21" customHeight="1"/>
    <row r="789" ht="21" customHeight="1"/>
    <row r="790" ht="21" customHeight="1"/>
    <row r="791" ht="21" customHeight="1"/>
    <row r="792" ht="21" customHeight="1"/>
    <row r="793" ht="21" customHeight="1"/>
    <row r="794" ht="21" customHeight="1"/>
    <row r="795" ht="21" customHeight="1"/>
    <row r="796" ht="21" customHeight="1"/>
    <row r="797" ht="21" customHeight="1"/>
    <row r="798" ht="21" customHeight="1"/>
    <row r="799" ht="21" customHeight="1"/>
    <row r="800" ht="21" customHeight="1"/>
    <row r="801" ht="21" customHeight="1"/>
    <row r="802" ht="21" customHeight="1"/>
    <row r="803" ht="21" customHeight="1"/>
    <row r="804" ht="21" customHeight="1"/>
    <row r="805" ht="21" customHeight="1"/>
    <row r="806" ht="21" customHeight="1"/>
    <row r="807" ht="21" customHeight="1"/>
    <row r="808" ht="21" customHeight="1"/>
    <row r="809" ht="21" customHeight="1"/>
    <row r="810" ht="21" customHeight="1"/>
    <row r="811" ht="21" customHeight="1"/>
    <row r="812" ht="21" customHeight="1"/>
    <row r="813" ht="21" customHeight="1"/>
    <row r="814" ht="21" customHeight="1"/>
    <row r="815" ht="21" customHeight="1"/>
    <row r="816" ht="21" customHeight="1"/>
    <row r="817" ht="21" customHeight="1"/>
    <row r="818" ht="21" customHeight="1"/>
    <row r="819" ht="21" customHeight="1"/>
    <row r="820" ht="21" customHeight="1"/>
    <row r="821" ht="21" customHeight="1"/>
    <row r="822" ht="21" customHeight="1"/>
    <row r="823" ht="21" customHeight="1"/>
    <row r="824" ht="21" customHeight="1"/>
    <row r="825" ht="21" customHeight="1"/>
    <row r="826" ht="21" customHeight="1"/>
    <row r="827" ht="21" customHeight="1"/>
    <row r="828" ht="21" customHeight="1"/>
    <row r="829" ht="21" customHeight="1"/>
    <row r="830" ht="21" customHeight="1"/>
    <row r="831" ht="21" customHeight="1"/>
    <row r="832" ht="21" customHeight="1"/>
    <row r="833" ht="21" customHeight="1"/>
    <row r="834" ht="21" customHeight="1"/>
    <row r="835" ht="21" customHeight="1"/>
    <row r="836" ht="21" customHeight="1"/>
    <row r="837" ht="21" customHeight="1"/>
    <row r="838" ht="21" customHeight="1"/>
    <row r="839" ht="21" customHeight="1"/>
    <row r="840" ht="21" customHeight="1"/>
    <row r="841" ht="21" customHeight="1"/>
    <row r="842" ht="21" customHeight="1"/>
    <row r="843" ht="21" customHeight="1"/>
    <row r="844" ht="21" customHeight="1"/>
    <row r="845" ht="21" customHeight="1"/>
    <row r="846" ht="21" customHeight="1"/>
    <row r="847" ht="21" customHeight="1"/>
    <row r="848" ht="21" customHeight="1"/>
    <row r="849" ht="21" customHeight="1"/>
    <row r="850" ht="21" customHeight="1"/>
    <row r="851" ht="21" customHeight="1"/>
    <row r="852" ht="21" customHeight="1"/>
    <row r="853" ht="21" customHeight="1"/>
    <row r="854" ht="21" customHeight="1"/>
    <row r="855" ht="21" customHeight="1"/>
    <row r="856" ht="21" customHeight="1"/>
    <row r="857" ht="21" customHeight="1"/>
    <row r="858" ht="21" customHeight="1"/>
    <row r="859" ht="21" customHeight="1"/>
    <row r="860" ht="21" customHeight="1"/>
    <row r="861" ht="21" customHeight="1"/>
    <row r="862" ht="21" customHeight="1"/>
    <row r="863" ht="21" customHeight="1"/>
    <row r="864" ht="21" customHeight="1"/>
    <row r="865" ht="21" customHeight="1"/>
    <row r="866" ht="21" customHeight="1"/>
    <row r="867" ht="21" customHeight="1"/>
    <row r="868" ht="21" customHeight="1"/>
    <row r="869" ht="21" customHeight="1"/>
    <row r="870" ht="21" customHeight="1"/>
    <row r="871" ht="21" customHeight="1"/>
    <row r="872" ht="21" customHeight="1"/>
    <row r="873" ht="21" customHeight="1"/>
    <row r="874" ht="21" customHeight="1"/>
    <row r="875" ht="21" customHeight="1"/>
    <row r="876" ht="21" customHeight="1"/>
    <row r="877" ht="21" customHeight="1"/>
    <row r="878" ht="21" customHeight="1"/>
    <row r="879" ht="21" customHeight="1"/>
    <row r="880" ht="21" customHeight="1"/>
    <row r="881" ht="21" customHeight="1"/>
    <row r="882" ht="21" customHeight="1"/>
    <row r="883" ht="21" customHeight="1"/>
    <row r="884" ht="21" customHeight="1"/>
    <row r="885" ht="21" customHeight="1"/>
    <row r="886" ht="21" customHeight="1"/>
    <row r="887" ht="21" customHeight="1"/>
    <row r="888" ht="21" customHeight="1"/>
    <row r="889" ht="21" customHeight="1"/>
    <row r="890" ht="21" customHeight="1"/>
    <row r="891" ht="21" customHeight="1"/>
    <row r="892" ht="21" customHeight="1"/>
    <row r="893" ht="21" customHeight="1"/>
    <row r="894" ht="21" customHeight="1"/>
    <row r="895" ht="21" customHeight="1"/>
    <row r="896" ht="21" customHeight="1"/>
    <row r="897" ht="21" customHeight="1"/>
    <row r="898" ht="21" customHeight="1"/>
    <row r="899" ht="21" customHeight="1"/>
    <row r="900" ht="21" customHeight="1"/>
    <row r="901" ht="21" customHeight="1"/>
    <row r="902" ht="21" customHeight="1"/>
    <row r="903" ht="21" customHeight="1"/>
    <row r="904" ht="21" customHeight="1"/>
    <row r="905" ht="21" customHeight="1"/>
    <row r="906" ht="21" customHeight="1"/>
    <row r="907" ht="21" customHeight="1"/>
    <row r="908" ht="21" customHeight="1"/>
    <row r="909" ht="21" customHeight="1"/>
    <row r="910" ht="21" customHeight="1"/>
    <row r="911" ht="21" customHeight="1"/>
    <row r="912" ht="21" customHeight="1"/>
    <row r="913" ht="21" customHeight="1"/>
    <row r="914" ht="21" customHeight="1"/>
    <row r="915" ht="21" customHeight="1"/>
    <row r="916" ht="21" customHeight="1"/>
    <row r="917" ht="21" customHeight="1"/>
    <row r="918" ht="21" customHeight="1"/>
    <row r="919" ht="21" customHeight="1"/>
    <row r="920" ht="21" customHeight="1"/>
    <row r="921" ht="21" customHeight="1"/>
    <row r="922" ht="21" customHeight="1"/>
    <row r="923" ht="21" customHeight="1"/>
    <row r="924" ht="21" customHeight="1"/>
    <row r="925" ht="21" customHeight="1"/>
    <row r="926" ht="21" customHeight="1"/>
    <row r="927" ht="21" customHeight="1"/>
    <row r="928" ht="21" customHeight="1"/>
    <row r="929" ht="21" customHeight="1"/>
    <row r="930" ht="21" customHeight="1"/>
    <row r="931" ht="21" customHeight="1"/>
    <row r="932" ht="21" customHeight="1"/>
    <row r="933" ht="21" customHeight="1"/>
    <row r="934" ht="21" customHeight="1"/>
    <row r="935" ht="21" customHeight="1"/>
    <row r="936" ht="21" customHeight="1"/>
    <row r="937" ht="21" customHeight="1"/>
    <row r="938" ht="21" customHeight="1"/>
    <row r="939" ht="21" customHeight="1"/>
    <row r="940" ht="21" customHeight="1"/>
    <row r="941" ht="21" customHeight="1"/>
    <row r="942" ht="21" customHeight="1"/>
    <row r="943" ht="21" customHeight="1"/>
    <row r="944" ht="21" customHeight="1"/>
    <row r="945" ht="21" customHeight="1"/>
    <row r="946" ht="21" customHeight="1"/>
    <row r="947" ht="21" customHeight="1"/>
    <row r="948" ht="21" customHeight="1"/>
    <row r="949" ht="21" customHeight="1"/>
    <row r="950" ht="21" customHeight="1"/>
    <row r="951" ht="21" customHeight="1"/>
    <row r="952" ht="21" customHeight="1"/>
    <row r="953" ht="21" customHeight="1"/>
    <row r="954" ht="21" customHeight="1"/>
    <row r="955" ht="21" customHeight="1"/>
    <row r="956" ht="21" customHeight="1"/>
    <row r="957" ht="21" customHeight="1"/>
    <row r="958" ht="21" customHeight="1"/>
    <row r="959" ht="21" customHeight="1"/>
    <row r="960" ht="21" customHeight="1"/>
    <row r="961" ht="21" customHeight="1"/>
    <row r="962" ht="21" customHeight="1"/>
    <row r="963" ht="21" customHeight="1"/>
    <row r="964" ht="21" customHeight="1"/>
    <row r="965" ht="21" customHeight="1"/>
    <row r="966" ht="21" customHeight="1"/>
    <row r="967" ht="21" customHeight="1"/>
    <row r="968" ht="21" customHeight="1"/>
    <row r="969" ht="21" customHeight="1"/>
    <row r="970" ht="21" customHeight="1"/>
    <row r="971" ht="21" customHeight="1"/>
    <row r="972" ht="21" customHeight="1"/>
    <row r="973" ht="21" customHeight="1"/>
    <row r="974" ht="21" customHeight="1"/>
    <row r="975" ht="21" customHeight="1"/>
    <row r="976" ht="21" customHeight="1"/>
    <row r="977" ht="21" customHeight="1"/>
    <row r="978" ht="21" customHeight="1"/>
    <row r="979" ht="21" customHeight="1"/>
    <row r="980" ht="21" customHeight="1"/>
    <row r="981" ht="21" customHeight="1"/>
    <row r="982" ht="21" customHeight="1"/>
    <row r="983" ht="21" customHeight="1"/>
    <row r="984" ht="21" customHeight="1"/>
    <row r="985" ht="21" customHeight="1"/>
    <row r="986" ht="21" customHeight="1"/>
    <row r="987" ht="21" customHeight="1"/>
    <row r="988" ht="21" customHeight="1"/>
    <row r="989" ht="21" customHeight="1"/>
    <row r="990" ht="21" customHeight="1"/>
    <row r="991" ht="21" customHeight="1"/>
    <row r="992" ht="21" customHeight="1"/>
    <row r="993" ht="21" customHeight="1"/>
    <row r="994" ht="21" customHeight="1"/>
    <row r="995" ht="21" customHeight="1"/>
    <row r="996" ht="21" customHeight="1"/>
    <row r="997" ht="21" customHeight="1"/>
    <row r="998" ht="21" customHeight="1"/>
    <row r="999" ht="21" customHeight="1"/>
    <row r="1000" ht="21" customHeight="1"/>
  </sheetData>
  <conditionalFormatting sqref="N2:N9">
    <cfRule type="expression" dxfId="35" priority="1">
      <formula>N2="Pass"</formula>
    </cfRule>
  </conditionalFormatting>
  <conditionalFormatting sqref="N2:N9">
    <cfRule type="expression" dxfId="34" priority="2">
      <formula>N2="Fail"</formula>
    </cfRule>
  </conditionalFormatting>
  <conditionalFormatting sqref="N2:N9">
    <cfRule type="expression" dxfId="33" priority="3">
      <formula>N2="Blocked"</formula>
    </cfRule>
  </conditionalFormatting>
  <conditionalFormatting sqref="Q2:Q9">
    <cfRule type="expression" dxfId="32" priority="4">
      <formula>Q2="Yes"</formula>
    </cfRule>
  </conditionalFormatting>
  <conditionalFormatting sqref="Q2:Q9">
    <cfRule type="expression" dxfId="31" priority="5">
      <formula>Q2="Later"</formula>
    </cfRule>
  </conditionalFormatting>
  <conditionalFormatting sqref="Q2:Q9">
    <cfRule type="expression" dxfId="30" priority="6">
      <formula>Q2="No"</formula>
    </cfRule>
  </conditionalFormatting>
  <conditionalFormatting sqref="O2:O9">
    <cfRule type="expression" dxfId="29" priority="7">
      <formula>O2="High"</formula>
    </cfRule>
  </conditionalFormatting>
  <dataValidations count="4">
    <dataValidation type="list" allowBlank="1" sqref="R2:R9" xr:uid="{00000000-0002-0000-0300-000000000000}">
      <formula1>"P1,P2,P3,P4"</formula1>
    </dataValidation>
    <dataValidation type="list" allowBlank="1" sqref="O2:O9" xr:uid="{00000000-0002-0000-0300-000001000000}">
      <formula1>"High,Medium,Low"</formula1>
    </dataValidation>
    <dataValidation type="list" allowBlank="1" sqref="N2:N9" xr:uid="{00000000-0002-0000-0300-000002000000}">
      <formula1>"Not Run,Pass,Fail,Blocked,Retest"</formula1>
    </dataValidation>
    <dataValidation type="list" allowBlank="1" sqref="Q2:Q9" xr:uid="{00000000-0002-0000-0300-000003000000}">
      <formula1>"Yes,Later,No"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8" workbookViewId="0">
      <selection activeCell="R1" sqref="R1"/>
    </sheetView>
  </sheetViews>
  <sheetFormatPr baseColWidth="10" defaultColWidth="12.6640625" defaultRowHeight="15"/>
  <cols>
    <col min="1" max="1" width="16" customWidth="1"/>
    <col min="2" max="2" width="10" customWidth="1"/>
    <col min="3" max="3" width="28" customWidth="1"/>
    <col min="4" max="4" width="10" customWidth="1"/>
    <col min="5" max="5" width="26" customWidth="1"/>
    <col min="6" max="6" width="12" customWidth="1"/>
    <col min="7" max="7" width="28" customWidth="1"/>
    <col min="8" max="8" width="42" customWidth="1"/>
    <col min="9" max="9" width="38" customWidth="1"/>
    <col min="10" max="10" width="52" customWidth="1"/>
    <col min="11" max="11" width="34" customWidth="1"/>
    <col min="12" max="13" width="44" customWidth="1"/>
    <col min="14" max="14" width="12" customWidth="1"/>
    <col min="15" max="15" width="10" customWidth="1"/>
    <col min="16" max="16" width="22" customWidth="1"/>
    <col min="17" max="17" width="20" customWidth="1"/>
    <col min="18" max="19" width="12" customWidth="1"/>
    <col min="20" max="20" width="36" customWidth="1"/>
    <col min="21" max="21" width="30" customWidth="1"/>
    <col min="22" max="22" width="42" customWidth="1"/>
    <col min="23" max="26" width="8.6640625" customWidth="1"/>
  </cols>
  <sheetData>
    <row r="1" spans="1:26" ht="42" customHeight="1">
      <c r="A1" s="2" t="s">
        <v>62</v>
      </c>
      <c r="B1" s="2" t="s">
        <v>17</v>
      </c>
      <c r="C1" s="2" t="s">
        <v>18</v>
      </c>
      <c r="D1" s="2" t="s">
        <v>63</v>
      </c>
      <c r="E1" s="2" t="s">
        <v>64</v>
      </c>
      <c r="F1" s="2" t="s">
        <v>65</v>
      </c>
      <c r="G1" s="2" t="s">
        <v>66</v>
      </c>
      <c r="H1" s="2" t="s">
        <v>67</v>
      </c>
      <c r="I1" s="2" t="s">
        <v>68</v>
      </c>
      <c r="J1" s="2" t="s">
        <v>69</v>
      </c>
      <c r="K1" s="2" t="s">
        <v>70</v>
      </c>
      <c r="L1" s="2" t="s">
        <v>71</v>
      </c>
      <c r="M1" s="2" t="s">
        <v>72</v>
      </c>
      <c r="N1" s="2" t="s">
        <v>73</v>
      </c>
      <c r="O1" s="2" t="s">
        <v>74</v>
      </c>
      <c r="P1" s="2" t="s">
        <v>75</v>
      </c>
      <c r="Q1" s="2" t="s">
        <v>76</v>
      </c>
      <c r="R1" s="2" t="s">
        <v>77</v>
      </c>
      <c r="S1" s="2" t="s">
        <v>78</v>
      </c>
      <c r="T1" s="2" t="s">
        <v>79</v>
      </c>
      <c r="U1" s="2" t="s">
        <v>80</v>
      </c>
      <c r="V1" s="2" t="s">
        <v>81</v>
      </c>
    </row>
    <row r="2" spans="1:26" ht="128" customHeight="1">
      <c r="A2" s="5" t="s">
        <v>357</v>
      </c>
      <c r="B2" s="5" t="s">
        <v>37</v>
      </c>
      <c r="C2" s="5" t="s">
        <v>38</v>
      </c>
      <c r="D2" s="5" t="s">
        <v>358</v>
      </c>
      <c r="E2" s="5" t="s">
        <v>359</v>
      </c>
      <c r="F2" s="5" t="s">
        <v>85</v>
      </c>
      <c r="G2" s="5" t="s">
        <v>360</v>
      </c>
      <c r="H2" s="5" t="s">
        <v>361</v>
      </c>
      <c r="I2" s="5" t="s">
        <v>362</v>
      </c>
      <c r="J2" s="5" t="s">
        <v>363</v>
      </c>
      <c r="K2" s="5" t="s">
        <v>629</v>
      </c>
      <c r="L2" s="5" t="s">
        <v>364</v>
      </c>
      <c r="M2" s="5"/>
      <c r="N2" s="5" t="s">
        <v>25</v>
      </c>
      <c r="O2" s="5" t="s">
        <v>91</v>
      </c>
      <c r="P2" s="5" t="s">
        <v>365</v>
      </c>
      <c r="Q2" s="5" t="s">
        <v>93</v>
      </c>
      <c r="R2" s="5" t="s">
        <v>94</v>
      </c>
      <c r="S2" s="5"/>
      <c r="T2" s="5"/>
      <c r="U2" s="5" t="s">
        <v>366</v>
      </c>
      <c r="V2" s="5" t="s">
        <v>96</v>
      </c>
      <c r="W2" s="7"/>
      <c r="X2" s="7"/>
      <c r="Y2" s="7"/>
      <c r="Z2" s="7"/>
    </row>
    <row r="3" spans="1:26" ht="128" customHeight="1">
      <c r="A3" s="5" t="s">
        <v>367</v>
      </c>
      <c r="B3" s="5" t="s">
        <v>37</v>
      </c>
      <c r="C3" s="5" t="s">
        <v>38</v>
      </c>
      <c r="D3" s="5" t="s">
        <v>368</v>
      </c>
      <c r="E3" s="5" t="s">
        <v>369</v>
      </c>
      <c r="F3" s="5" t="s">
        <v>130</v>
      </c>
      <c r="G3" s="5" t="s">
        <v>370</v>
      </c>
      <c r="H3" s="5" t="s">
        <v>371</v>
      </c>
      <c r="I3" s="5" t="s">
        <v>372</v>
      </c>
      <c r="J3" s="5" t="s">
        <v>373</v>
      </c>
      <c r="K3" s="5" t="s">
        <v>614</v>
      </c>
      <c r="L3" s="5" t="s">
        <v>374</v>
      </c>
      <c r="M3" s="5"/>
      <c r="N3" s="5" t="s">
        <v>25</v>
      </c>
      <c r="O3" s="5" t="s">
        <v>91</v>
      </c>
      <c r="P3" s="5" t="s">
        <v>365</v>
      </c>
      <c r="Q3" s="5" t="s">
        <v>93</v>
      </c>
      <c r="R3" s="5" t="s">
        <v>94</v>
      </c>
      <c r="S3" s="5"/>
      <c r="T3" s="5"/>
      <c r="U3" s="5" t="s">
        <v>375</v>
      </c>
      <c r="V3" s="5" t="s">
        <v>96</v>
      </c>
      <c r="W3" s="7"/>
      <c r="X3" s="7"/>
      <c r="Y3" s="7"/>
      <c r="Z3" s="7"/>
    </row>
    <row r="4" spans="1:26" ht="128" customHeight="1">
      <c r="A4" s="5" t="s">
        <v>376</v>
      </c>
      <c r="B4" s="5" t="s">
        <v>37</v>
      </c>
      <c r="C4" s="5" t="s">
        <v>38</v>
      </c>
      <c r="D4" s="5" t="s">
        <v>377</v>
      </c>
      <c r="E4" s="5" t="s">
        <v>378</v>
      </c>
      <c r="F4" s="5" t="s">
        <v>130</v>
      </c>
      <c r="G4" s="5" t="s">
        <v>379</v>
      </c>
      <c r="H4" s="5" t="s">
        <v>380</v>
      </c>
      <c r="I4" s="5" t="s">
        <v>381</v>
      </c>
      <c r="J4" s="5" t="s">
        <v>382</v>
      </c>
      <c r="K4" s="5" t="s">
        <v>630</v>
      </c>
      <c r="L4" s="5" t="s">
        <v>383</v>
      </c>
      <c r="M4" s="5"/>
      <c r="N4" s="5" t="s">
        <v>25</v>
      </c>
      <c r="O4" s="5" t="s">
        <v>91</v>
      </c>
      <c r="P4" s="5" t="s">
        <v>384</v>
      </c>
      <c r="Q4" s="5" t="s">
        <v>93</v>
      </c>
      <c r="R4" s="5" t="s">
        <v>94</v>
      </c>
      <c r="S4" s="5"/>
      <c r="T4" s="5"/>
      <c r="U4" s="5" t="s">
        <v>385</v>
      </c>
      <c r="V4" s="5" t="s">
        <v>96</v>
      </c>
      <c r="W4" s="7"/>
      <c r="X4" s="7"/>
      <c r="Y4" s="7"/>
      <c r="Z4" s="7"/>
    </row>
    <row r="5" spans="1:26" ht="128" customHeight="1">
      <c r="A5" s="5" t="s">
        <v>386</v>
      </c>
      <c r="B5" s="5" t="s">
        <v>37</v>
      </c>
      <c r="C5" s="5" t="s">
        <v>38</v>
      </c>
      <c r="D5" s="5" t="s">
        <v>377</v>
      </c>
      <c r="E5" s="5" t="s">
        <v>378</v>
      </c>
      <c r="F5" s="5" t="s">
        <v>138</v>
      </c>
      <c r="G5" s="5" t="s">
        <v>387</v>
      </c>
      <c r="H5" s="5" t="s">
        <v>388</v>
      </c>
      <c r="I5" s="5" t="s">
        <v>381</v>
      </c>
      <c r="J5" s="5" t="s">
        <v>389</v>
      </c>
      <c r="K5" s="5" t="s">
        <v>630</v>
      </c>
      <c r="L5" s="5" t="s">
        <v>390</v>
      </c>
      <c r="M5" s="5"/>
      <c r="N5" s="5" t="s">
        <v>25</v>
      </c>
      <c r="O5" s="5" t="s">
        <v>91</v>
      </c>
      <c r="P5" s="5" t="s">
        <v>384</v>
      </c>
      <c r="Q5" s="5" t="s">
        <v>116</v>
      </c>
      <c r="R5" s="5" t="s">
        <v>117</v>
      </c>
      <c r="S5" s="5"/>
      <c r="T5" s="5"/>
      <c r="U5" s="5" t="s">
        <v>385</v>
      </c>
      <c r="V5" s="5" t="s">
        <v>96</v>
      </c>
      <c r="W5" s="7"/>
      <c r="X5" s="7"/>
      <c r="Y5" s="7"/>
      <c r="Z5" s="7"/>
    </row>
    <row r="6" spans="1:26" ht="128" customHeight="1">
      <c r="A6" s="5" t="s">
        <v>391</v>
      </c>
      <c r="B6" s="5" t="s">
        <v>37</v>
      </c>
      <c r="C6" s="5" t="s">
        <v>38</v>
      </c>
      <c r="D6" s="5" t="s">
        <v>392</v>
      </c>
      <c r="E6" s="5" t="s">
        <v>393</v>
      </c>
      <c r="F6" s="5" t="s">
        <v>85</v>
      </c>
      <c r="G6" s="5" t="s">
        <v>394</v>
      </c>
      <c r="H6" s="5" t="s">
        <v>395</v>
      </c>
      <c r="I6" s="5" t="s">
        <v>396</v>
      </c>
      <c r="J6" s="5" t="s">
        <v>397</v>
      </c>
      <c r="K6" s="5" t="s">
        <v>631</v>
      </c>
      <c r="L6" s="5" t="s">
        <v>398</v>
      </c>
      <c r="M6" s="5"/>
      <c r="N6" s="5" t="s">
        <v>25</v>
      </c>
      <c r="O6" s="5" t="s">
        <v>91</v>
      </c>
      <c r="P6" s="5" t="s">
        <v>365</v>
      </c>
      <c r="Q6" s="5" t="s">
        <v>93</v>
      </c>
      <c r="R6" s="5" t="s">
        <v>94</v>
      </c>
      <c r="S6" s="5"/>
      <c r="T6" s="5"/>
      <c r="U6" s="5" t="s">
        <v>375</v>
      </c>
      <c r="V6" s="5" t="s">
        <v>96</v>
      </c>
      <c r="W6" s="7"/>
      <c r="X6" s="7"/>
      <c r="Y6" s="7"/>
      <c r="Z6" s="7"/>
    </row>
    <row r="7" spans="1:26" ht="128" customHeight="1">
      <c r="A7" s="5" t="s">
        <v>399</v>
      </c>
      <c r="B7" s="5" t="s">
        <v>37</v>
      </c>
      <c r="C7" s="5" t="s">
        <v>38</v>
      </c>
      <c r="D7" s="5" t="s">
        <v>392</v>
      </c>
      <c r="E7" s="5" t="s">
        <v>393</v>
      </c>
      <c r="F7" s="5" t="s">
        <v>108</v>
      </c>
      <c r="G7" s="5" t="s">
        <v>400</v>
      </c>
      <c r="H7" s="5" t="s">
        <v>401</v>
      </c>
      <c r="I7" s="5" t="s">
        <v>402</v>
      </c>
      <c r="J7" s="5" t="s">
        <v>403</v>
      </c>
      <c r="K7" s="5" t="s">
        <v>632</v>
      </c>
      <c r="L7" s="5" t="s">
        <v>404</v>
      </c>
      <c r="M7" s="5"/>
      <c r="N7" s="5" t="s">
        <v>25</v>
      </c>
      <c r="O7" s="5" t="s">
        <v>114</v>
      </c>
      <c r="P7" s="5" t="s">
        <v>115</v>
      </c>
      <c r="Q7" s="5" t="s">
        <v>116</v>
      </c>
      <c r="R7" s="5" t="s">
        <v>117</v>
      </c>
      <c r="S7" s="5"/>
      <c r="T7" s="5"/>
      <c r="U7" s="5" t="s">
        <v>118</v>
      </c>
      <c r="V7" s="5" t="s">
        <v>96</v>
      </c>
      <c r="W7" s="7"/>
      <c r="X7" s="7"/>
      <c r="Y7" s="7"/>
      <c r="Z7" s="7"/>
    </row>
    <row r="8" spans="1:26" ht="128" customHeight="1">
      <c r="A8" s="5" t="s">
        <v>405</v>
      </c>
      <c r="B8" s="5" t="s">
        <v>37</v>
      </c>
      <c r="C8" s="5" t="s">
        <v>38</v>
      </c>
      <c r="D8" s="5" t="s">
        <v>406</v>
      </c>
      <c r="E8" s="5" t="s">
        <v>407</v>
      </c>
      <c r="F8" s="5" t="s">
        <v>130</v>
      </c>
      <c r="G8" s="5" t="s">
        <v>408</v>
      </c>
      <c r="H8" s="5" t="s">
        <v>409</v>
      </c>
      <c r="I8" s="5" t="s">
        <v>410</v>
      </c>
      <c r="J8" s="5" t="s">
        <v>411</v>
      </c>
      <c r="K8" s="5" t="s">
        <v>412</v>
      </c>
      <c r="L8" s="5" t="s">
        <v>413</v>
      </c>
      <c r="M8" s="5"/>
      <c r="N8" s="5" t="s">
        <v>25</v>
      </c>
      <c r="O8" s="5" t="s">
        <v>91</v>
      </c>
      <c r="P8" s="5" t="s">
        <v>414</v>
      </c>
      <c r="Q8" s="5" t="s">
        <v>93</v>
      </c>
      <c r="R8" s="5" t="s">
        <v>94</v>
      </c>
      <c r="S8" s="5"/>
      <c r="T8" s="5"/>
      <c r="U8" s="5" t="s">
        <v>415</v>
      </c>
      <c r="V8" s="5" t="s">
        <v>96</v>
      </c>
      <c r="W8" s="7"/>
      <c r="X8" s="7"/>
      <c r="Y8" s="7"/>
      <c r="Z8" s="7"/>
    </row>
    <row r="9" spans="1:26" ht="128" customHeight="1">
      <c r="A9" s="5" t="s">
        <v>416</v>
      </c>
      <c r="B9" s="5" t="s">
        <v>37</v>
      </c>
      <c r="C9" s="5" t="s">
        <v>38</v>
      </c>
      <c r="D9" s="5" t="s">
        <v>406</v>
      </c>
      <c r="E9" s="5" t="s">
        <v>407</v>
      </c>
      <c r="F9" s="5" t="s">
        <v>138</v>
      </c>
      <c r="G9" s="5" t="s">
        <v>417</v>
      </c>
      <c r="H9" s="5" t="s">
        <v>418</v>
      </c>
      <c r="I9" s="5" t="s">
        <v>419</v>
      </c>
      <c r="J9" s="5" t="s">
        <v>420</v>
      </c>
      <c r="K9" s="5" t="s">
        <v>189</v>
      </c>
      <c r="L9" s="5" t="s">
        <v>421</v>
      </c>
      <c r="M9" s="5"/>
      <c r="N9" s="5" t="s">
        <v>25</v>
      </c>
      <c r="O9" s="5" t="s">
        <v>114</v>
      </c>
      <c r="P9" s="5" t="s">
        <v>422</v>
      </c>
      <c r="Q9" s="5" t="s">
        <v>116</v>
      </c>
      <c r="R9" s="5" t="s">
        <v>117</v>
      </c>
      <c r="S9" s="5"/>
      <c r="T9" s="5"/>
      <c r="U9" s="5" t="s">
        <v>415</v>
      </c>
      <c r="V9" s="5" t="s">
        <v>96</v>
      </c>
      <c r="W9" s="7"/>
      <c r="X9" s="7"/>
      <c r="Y9" s="7"/>
      <c r="Z9" s="7"/>
    </row>
    <row r="21" ht="21" customHeight="1"/>
    <row r="22" ht="21" customHeight="1"/>
    <row r="23" ht="21" customHeight="1"/>
    <row r="24" ht="21" customHeight="1"/>
    <row r="25" ht="21" customHeight="1"/>
    <row r="26" ht="21" customHeight="1"/>
    <row r="27" ht="21" customHeight="1"/>
    <row r="28" ht="21" customHeight="1"/>
    <row r="29" ht="21" customHeight="1"/>
    <row r="30" ht="21" customHeight="1"/>
    <row r="31" ht="21" customHeight="1"/>
    <row r="32" ht="21" customHeight="1"/>
    <row r="33" ht="21" customHeight="1"/>
    <row r="34" ht="21" customHeight="1"/>
    <row r="35" ht="21" customHeight="1"/>
    <row r="36" ht="21" customHeight="1"/>
    <row r="37" ht="21" customHeight="1"/>
    <row r="38" ht="21" customHeight="1"/>
    <row r="39" ht="21" customHeight="1"/>
    <row r="40" ht="21" customHeight="1"/>
    <row r="41" ht="21" customHeight="1"/>
    <row r="42" ht="21" customHeight="1"/>
    <row r="43" ht="21" customHeight="1"/>
    <row r="44" ht="21" customHeight="1"/>
    <row r="45" ht="21" customHeight="1"/>
    <row r="46" ht="21" customHeight="1"/>
    <row r="47" ht="21" customHeight="1"/>
    <row r="48"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row r="350" ht="21" customHeight="1"/>
    <row r="351" ht="21" customHeight="1"/>
    <row r="352" ht="21" customHeight="1"/>
    <row r="353" ht="21" customHeight="1"/>
    <row r="354" ht="21" customHeight="1"/>
    <row r="355" ht="21" customHeight="1"/>
    <row r="356" ht="21" customHeight="1"/>
    <row r="357" ht="21" customHeight="1"/>
    <row r="358" ht="21" customHeight="1"/>
    <row r="359" ht="21" customHeight="1"/>
    <row r="360" ht="21" customHeight="1"/>
    <row r="361" ht="21" customHeight="1"/>
    <row r="362" ht="21" customHeight="1"/>
    <row r="363" ht="21" customHeight="1"/>
    <row r="364" ht="21" customHeight="1"/>
    <row r="365" ht="21" customHeight="1"/>
    <row r="366" ht="21" customHeight="1"/>
    <row r="367" ht="21" customHeight="1"/>
    <row r="368" ht="21" customHeight="1"/>
    <row r="369" ht="21" customHeight="1"/>
    <row r="370" ht="21" customHeight="1"/>
    <row r="371" ht="21" customHeight="1"/>
    <row r="372" ht="21" customHeight="1"/>
    <row r="373" ht="21" customHeight="1"/>
    <row r="374" ht="21" customHeight="1"/>
    <row r="375" ht="21" customHeight="1"/>
    <row r="376" ht="21" customHeight="1"/>
    <row r="377" ht="21" customHeight="1"/>
    <row r="378" ht="21" customHeight="1"/>
    <row r="379" ht="21" customHeight="1"/>
    <row r="380" ht="21" customHeight="1"/>
    <row r="381" ht="21" customHeight="1"/>
    <row r="382" ht="21" customHeight="1"/>
    <row r="383" ht="21" customHeight="1"/>
    <row r="384" ht="21" customHeight="1"/>
    <row r="385" ht="21" customHeight="1"/>
    <row r="386" ht="21" customHeight="1"/>
    <row r="387" ht="21" customHeight="1"/>
    <row r="388" ht="21" customHeight="1"/>
    <row r="389" ht="21" customHeight="1"/>
    <row r="390" ht="21" customHeight="1"/>
    <row r="391" ht="21" customHeight="1"/>
    <row r="392" ht="21" customHeight="1"/>
    <row r="393" ht="21" customHeight="1"/>
    <row r="394" ht="21" customHeight="1"/>
    <row r="395" ht="21" customHeight="1"/>
    <row r="396" ht="21" customHeight="1"/>
    <row r="397" ht="21" customHeight="1"/>
    <row r="398" ht="21" customHeight="1"/>
    <row r="399" ht="21" customHeight="1"/>
    <row r="400" ht="21" customHeight="1"/>
    <row r="401" ht="21" customHeight="1"/>
    <row r="402" ht="21" customHeight="1"/>
    <row r="403" ht="21" customHeight="1"/>
    <row r="404" ht="21" customHeight="1"/>
    <row r="405" ht="21" customHeight="1"/>
    <row r="406" ht="21" customHeight="1"/>
    <row r="407" ht="21" customHeight="1"/>
    <row r="408" ht="21" customHeight="1"/>
    <row r="409" ht="21" customHeight="1"/>
    <row r="410" ht="21" customHeight="1"/>
    <row r="411" ht="21" customHeight="1"/>
    <row r="412" ht="21" customHeight="1"/>
    <row r="413" ht="21" customHeight="1"/>
    <row r="414" ht="21" customHeight="1"/>
    <row r="415" ht="21" customHeight="1"/>
    <row r="416" ht="21" customHeight="1"/>
    <row r="417" ht="21" customHeight="1"/>
    <row r="418" ht="21" customHeight="1"/>
    <row r="419" ht="21" customHeight="1"/>
    <row r="420" ht="21" customHeight="1"/>
    <row r="421" ht="21" customHeight="1"/>
    <row r="422" ht="21" customHeight="1"/>
    <row r="423" ht="21" customHeight="1"/>
    <row r="424" ht="21" customHeight="1"/>
    <row r="425" ht="21" customHeight="1"/>
    <row r="426" ht="21" customHeight="1"/>
    <row r="427" ht="21" customHeight="1"/>
    <row r="428" ht="21" customHeight="1"/>
    <row r="429" ht="21" customHeight="1"/>
    <row r="430" ht="21" customHeight="1"/>
    <row r="431" ht="21" customHeight="1"/>
    <row r="432" ht="21" customHeight="1"/>
    <row r="433" ht="21" customHeight="1"/>
    <row r="434" ht="21" customHeight="1"/>
    <row r="435" ht="21" customHeight="1"/>
    <row r="436" ht="21" customHeight="1"/>
    <row r="437" ht="21" customHeight="1"/>
    <row r="438" ht="21" customHeight="1"/>
    <row r="439" ht="21" customHeight="1"/>
    <row r="440" ht="21" customHeight="1"/>
    <row r="441" ht="21" customHeight="1"/>
    <row r="442" ht="21" customHeight="1"/>
    <row r="443" ht="21" customHeight="1"/>
    <row r="444" ht="21" customHeight="1"/>
    <row r="445" ht="21" customHeight="1"/>
    <row r="446" ht="21" customHeight="1"/>
    <row r="447" ht="21" customHeight="1"/>
    <row r="448" ht="21" customHeight="1"/>
    <row r="449" ht="21" customHeight="1"/>
    <row r="450" ht="21" customHeight="1"/>
    <row r="451" ht="21" customHeight="1"/>
    <row r="452" ht="21" customHeight="1"/>
    <row r="453" ht="21" customHeight="1"/>
    <row r="454" ht="21" customHeight="1"/>
    <row r="455" ht="21" customHeight="1"/>
    <row r="456" ht="21" customHeight="1"/>
    <row r="457" ht="21" customHeight="1"/>
    <row r="458" ht="21" customHeight="1"/>
    <row r="459" ht="21" customHeight="1"/>
    <row r="460" ht="21" customHeight="1"/>
    <row r="461" ht="21" customHeight="1"/>
    <row r="462" ht="21" customHeight="1"/>
    <row r="463" ht="21" customHeight="1"/>
    <row r="464" ht="21" customHeight="1"/>
    <row r="465" ht="21" customHeight="1"/>
    <row r="466" ht="21" customHeight="1"/>
    <row r="467" ht="21" customHeight="1"/>
    <row r="468" ht="21" customHeight="1"/>
    <row r="469" ht="21" customHeight="1"/>
    <row r="470" ht="21" customHeight="1"/>
    <row r="471" ht="21" customHeight="1"/>
    <row r="472" ht="21" customHeight="1"/>
    <row r="473" ht="21" customHeight="1"/>
    <row r="474" ht="21" customHeight="1"/>
    <row r="475" ht="21" customHeight="1"/>
    <row r="476" ht="21" customHeight="1"/>
    <row r="477" ht="21" customHeight="1"/>
    <row r="478" ht="21" customHeight="1"/>
    <row r="479" ht="21" customHeight="1"/>
    <row r="480" ht="21" customHeight="1"/>
    <row r="481" ht="21" customHeight="1"/>
    <row r="482" ht="21" customHeight="1"/>
    <row r="483" ht="21" customHeight="1"/>
    <row r="484" ht="21" customHeight="1"/>
    <row r="485" ht="21" customHeight="1"/>
    <row r="486" ht="21" customHeight="1"/>
    <row r="487" ht="21" customHeight="1"/>
    <row r="488" ht="21" customHeight="1"/>
    <row r="489" ht="21" customHeight="1"/>
    <row r="490" ht="21" customHeight="1"/>
    <row r="491" ht="21" customHeight="1"/>
    <row r="492" ht="21" customHeight="1"/>
    <row r="493" ht="21" customHeight="1"/>
    <row r="494" ht="21" customHeight="1"/>
    <row r="495" ht="21" customHeight="1"/>
    <row r="496" ht="21" customHeight="1"/>
    <row r="497" ht="21" customHeight="1"/>
    <row r="498" ht="21" customHeight="1"/>
    <row r="499" ht="21" customHeight="1"/>
    <row r="500" ht="21" customHeight="1"/>
    <row r="501" ht="21" customHeight="1"/>
    <row r="502" ht="21" customHeight="1"/>
    <row r="503" ht="21" customHeight="1"/>
    <row r="504" ht="21" customHeight="1"/>
    <row r="505" ht="21" customHeight="1"/>
    <row r="506" ht="21" customHeight="1"/>
    <row r="507" ht="21" customHeight="1"/>
    <row r="508" ht="21" customHeight="1"/>
    <row r="509" ht="21" customHeight="1"/>
    <row r="510" ht="21" customHeight="1"/>
    <row r="511" ht="21" customHeight="1"/>
    <row r="512" ht="21" customHeight="1"/>
    <row r="513" ht="21" customHeight="1"/>
    <row r="514" ht="21" customHeight="1"/>
    <row r="515" ht="21" customHeight="1"/>
    <row r="516" ht="21" customHeight="1"/>
    <row r="517" ht="21" customHeight="1"/>
    <row r="518" ht="21" customHeight="1"/>
    <row r="519" ht="21" customHeight="1"/>
    <row r="520" ht="21" customHeight="1"/>
    <row r="521" ht="21" customHeight="1"/>
    <row r="522" ht="21" customHeight="1"/>
    <row r="523" ht="21" customHeight="1"/>
    <row r="524" ht="21" customHeight="1"/>
    <row r="525" ht="21" customHeight="1"/>
    <row r="526" ht="21" customHeight="1"/>
    <row r="527" ht="21" customHeight="1"/>
    <row r="528" ht="21" customHeight="1"/>
    <row r="529" ht="21" customHeight="1"/>
    <row r="530" ht="21" customHeight="1"/>
    <row r="531" ht="21" customHeight="1"/>
    <row r="532" ht="21" customHeight="1"/>
    <row r="533" ht="21" customHeight="1"/>
    <row r="534" ht="21" customHeight="1"/>
    <row r="535" ht="21" customHeight="1"/>
    <row r="536" ht="21" customHeight="1"/>
    <row r="537" ht="21" customHeight="1"/>
    <row r="538" ht="21" customHeight="1"/>
    <row r="539" ht="21" customHeight="1"/>
    <row r="540" ht="21" customHeight="1"/>
    <row r="541" ht="21" customHeight="1"/>
    <row r="542" ht="21" customHeight="1"/>
    <row r="543" ht="21" customHeight="1"/>
    <row r="544" ht="21" customHeight="1"/>
    <row r="545" ht="21" customHeight="1"/>
    <row r="546" ht="21" customHeight="1"/>
    <row r="547" ht="21" customHeight="1"/>
    <row r="548" ht="21" customHeight="1"/>
    <row r="549" ht="21" customHeight="1"/>
    <row r="550" ht="21" customHeight="1"/>
    <row r="551" ht="21" customHeight="1"/>
    <row r="552" ht="21" customHeight="1"/>
    <row r="553" ht="21" customHeight="1"/>
    <row r="554" ht="21" customHeight="1"/>
    <row r="555" ht="21" customHeight="1"/>
    <row r="556" ht="21" customHeight="1"/>
    <row r="557" ht="21" customHeight="1"/>
    <row r="558" ht="21" customHeight="1"/>
    <row r="559" ht="21" customHeight="1"/>
    <row r="560" ht="21" customHeight="1"/>
    <row r="561" ht="21" customHeight="1"/>
    <row r="562" ht="21" customHeight="1"/>
    <row r="563" ht="21" customHeight="1"/>
    <row r="564" ht="21" customHeight="1"/>
    <row r="565" ht="21" customHeight="1"/>
    <row r="566" ht="21" customHeight="1"/>
    <row r="567" ht="21" customHeight="1"/>
    <row r="568" ht="21" customHeight="1"/>
    <row r="569" ht="21" customHeight="1"/>
    <row r="570" ht="21" customHeight="1"/>
    <row r="571" ht="21" customHeight="1"/>
    <row r="572" ht="21" customHeight="1"/>
    <row r="573" ht="21" customHeight="1"/>
    <row r="574" ht="21" customHeight="1"/>
    <row r="575" ht="21" customHeight="1"/>
    <row r="576" ht="21" customHeight="1"/>
    <row r="577" ht="21" customHeight="1"/>
    <row r="578" ht="21" customHeight="1"/>
    <row r="579" ht="21" customHeight="1"/>
    <row r="580" ht="21" customHeight="1"/>
    <row r="581" ht="21" customHeight="1"/>
    <row r="582" ht="21" customHeight="1"/>
    <row r="583" ht="21" customHeight="1"/>
    <row r="584" ht="21" customHeight="1"/>
    <row r="585" ht="21" customHeight="1"/>
    <row r="586" ht="21" customHeight="1"/>
    <row r="587" ht="21" customHeight="1"/>
    <row r="588" ht="21" customHeight="1"/>
    <row r="589" ht="21" customHeight="1"/>
    <row r="590" ht="21" customHeight="1"/>
    <row r="591" ht="21" customHeight="1"/>
    <row r="592" ht="21" customHeight="1"/>
    <row r="593" ht="21" customHeight="1"/>
    <row r="594" ht="21" customHeight="1"/>
    <row r="595" ht="21" customHeight="1"/>
    <row r="596" ht="21" customHeight="1"/>
    <row r="597" ht="21" customHeight="1"/>
    <row r="598" ht="21" customHeight="1"/>
    <row r="599" ht="21" customHeight="1"/>
    <row r="600" ht="21" customHeight="1"/>
    <row r="601" ht="21" customHeight="1"/>
    <row r="602" ht="21" customHeight="1"/>
    <row r="603" ht="21" customHeight="1"/>
    <row r="604" ht="21" customHeight="1"/>
    <row r="605" ht="21" customHeight="1"/>
    <row r="606" ht="21" customHeight="1"/>
    <row r="607" ht="21" customHeight="1"/>
    <row r="608" ht="21" customHeight="1"/>
    <row r="609" ht="21" customHeight="1"/>
    <row r="610" ht="21" customHeight="1"/>
    <row r="611" ht="21" customHeight="1"/>
    <row r="612" ht="21" customHeight="1"/>
    <row r="613" ht="21" customHeight="1"/>
    <row r="614" ht="21" customHeight="1"/>
    <row r="615" ht="21" customHeight="1"/>
    <row r="616" ht="21" customHeight="1"/>
    <row r="617" ht="21" customHeight="1"/>
    <row r="618" ht="21" customHeight="1"/>
    <row r="619" ht="21" customHeight="1"/>
    <row r="620" ht="21" customHeight="1"/>
    <row r="621" ht="21" customHeight="1"/>
    <row r="622" ht="21" customHeight="1"/>
    <row r="623" ht="21" customHeight="1"/>
    <row r="624" ht="21" customHeight="1"/>
    <row r="625" ht="21" customHeight="1"/>
    <row r="626" ht="21" customHeight="1"/>
    <row r="627" ht="21" customHeight="1"/>
    <row r="628" ht="21" customHeight="1"/>
    <row r="629" ht="21" customHeight="1"/>
    <row r="630" ht="21" customHeight="1"/>
    <row r="631" ht="21" customHeight="1"/>
    <row r="632" ht="21" customHeight="1"/>
    <row r="633" ht="21" customHeight="1"/>
    <row r="634" ht="21" customHeight="1"/>
    <row r="635" ht="21" customHeight="1"/>
    <row r="636" ht="21" customHeight="1"/>
    <row r="637" ht="21" customHeight="1"/>
    <row r="638" ht="21" customHeight="1"/>
    <row r="639" ht="21" customHeight="1"/>
    <row r="640" ht="21" customHeight="1"/>
    <row r="641" ht="21" customHeight="1"/>
    <row r="642" ht="21" customHeight="1"/>
    <row r="643" ht="21" customHeight="1"/>
    <row r="644" ht="21" customHeight="1"/>
    <row r="645" ht="21" customHeight="1"/>
    <row r="646" ht="21" customHeight="1"/>
    <row r="647" ht="21" customHeight="1"/>
    <row r="648" ht="21" customHeight="1"/>
    <row r="649" ht="21" customHeight="1"/>
    <row r="650" ht="21" customHeight="1"/>
    <row r="651" ht="21" customHeight="1"/>
    <row r="652" ht="21" customHeight="1"/>
    <row r="653" ht="21" customHeight="1"/>
    <row r="654" ht="21" customHeight="1"/>
    <row r="655" ht="21" customHeight="1"/>
    <row r="656" ht="21" customHeight="1"/>
    <row r="657" ht="21" customHeight="1"/>
    <row r="658" ht="21" customHeight="1"/>
    <row r="659" ht="21" customHeight="1"/>
    <row r="660" ht="21" customHeight="1"/>
    <row r="661" ht="21" customHeight="1"/>
    <row r="662" ht="21" customHeight="1"/>
    <row r="663" ht="21" customHeight="1"/>
    <row r="664" ht="21" customHeight="1"/>
    <row r="665" ht="21" customHeight="1"/>
    <row r="666" ht="21" customHeight="1"/>
    <row r="667" ht="21" customHeight="1"/>
    <row r="668" ht="21" customHeight="1"/>
    <row r="669" ht="21" customHeight="1"/>
    <row r="670" ht="21" customHeight="1"/>
    <row r="671" ht="21" customHeight="1"/>
    <row r="672" ht="21" customHeight="1"/>
    <row r="673" ht="21" customHeight="1"/>
    <row r="674" ht="21" customHeight="1"/>
    <row r="675" ht="21" customHeight="1"/>
    <row r="676" ht="21" customHeight="1"/>
    <row r="677" ht="21" customHeight="1"/>
    <row r="678" ht="21" customHeight="1"/>
    <row r="679" ht="21" customHeight="1"/>
    <row r="680" ht="21" customHeight="1"/>
    <row r="681" ht="21" customHeight="1"/>
    <row r="682" ht="21" customHeight="1"/>
    <row r="683" ht="21" customHeight="1"/>
    <row r="684" ht="21" customHeight="1"/>
    <row r="685" ht="21" customHeight="1"/>
    <row r="686" ht="21" customHeight="1"/>
    <row r="687" ht="21" customHeight="1"/>
    <row r="688" ht="21" customHeight="1"/>
    <row r="689" ht="21" customHeight="1"/>
    <row r="690" ht="21" customHeight="1"/>
    <row r="691" ht="21" customHeight="1"/>
    <row r="692" ht="21" customHeight="1"/>
    <row r="693" ht="21" customHeight="1"/>
    <row r="694" ht="21" customHeight="1"/>
    <row r="695" ht="21" customHeight="1"/>
    <row r="696" ht="21" customHeight="1"/>
    <row r="697" ht="21" customHeight="1"/>
    <row r="698" ht="21" customHeight="1"/>
    <row r="699" ht="21" customHeight="1"/>
    <row r="700" ht="21" customHeight="1"/>
    <row r="701" ht="21" customHeight="1"/>
    <row r="702" ht="21" customHeight="1"/>
    <row r="703" ht="21" customHeight="1"/>
    <row r="704" ht="21" customHeight="1"/>
    <row r="705" ht="21" customHeight="1"/>
    <row r="706" ht="21" customHeight="1"/>
    <row r="707" ht="21" customHeight="1"/>
    <row r="708" ht="21" customHeight="1"/>
    <row r="709" ht="21" customHeight="1"/>
    <row r="710" ht="21" customHeight="1"/>
    <row r="711" ht="21" customHeight="1"/>
    <row r="712" ht="21" customHeight="1"/>
    <row r="713" ht="21" customHeight="1"/>
    <row r="714" ht="21" customHeight="1"/>
    <row r="715" ht="21" customHeight="1"/>
    <row r="716" ht="21" customHeight="1"/>
    <row r="717" ht="21" customHeight="1"/>
    <row r="718" ht="21" customHeight="1"/>
    <row r="719" ht="21" customHeight="1"/>
    <row r="720" ht="21" customHeight="1"/>
    <row r="721" ht="21" customHeight="1"/>
    <row r="722" ht="21" customHeight="1"/>
    <row r="723" ht="21" customHeight="1"/>
    <row r="724" ht="21" customHeight="1"/>
    <row r="725" ht="21" customHeight="1"/>
    <row r="726" ht="21" customHeight="1"/>
    <row r="727" ht="21" customHeight="1"/>
    <row r="728" ht="21" customHeight="1"/>
    <row r="729" ht="21" customHeight="1"/>
    <row r="730" ht="21" customHeight="1"/>
    <row r="731" ht="21" customHeight="1"/>
    <row r="732" ht="21" customHeight="1"/>
    <row r="733" ht="21" customHeight="1"/>
    <row r="734" ht="21" customHeight="1"/>
    <row r="735" ht="21" customHeight="1"/>
    <row r="736" ht="21" customHeight="1"/>
    <row r="737" ht="21" customHeight="1"/>
    <row r="738" ht="21" customHeight="1"/>
    <row r="739" ht="21" customHeight="1"/>
    <row r="740" ht="21" customHeight="1"/>
    <row r="741" ht="21" customHeight="1"/>
    <row r="742" ht="21" customHeight="1"/>
    <row r="743" ht="21" customHeight="1"/>
    <row r="744" ht="21" customHeight="1"/>
    <row r="745" ht="21" customHeight="1"/>
    <row r="746" ht="21" customHeight="1"/>
    <row r="747" ht="21" customHeight="1"/>
    <row r="748" ht="21" customHeight="1"/>
    <row r="749" ht="21" customHeight="1"/>
    <row r="750" ht="21" customHeight="1"/>
    <row r="751" ht="21" customHeight="1"/>
    <row r="752" ht="21" customHeight="1"/>
    <row r="753" ht="21" customHeight="1"/>
    <row r="754" ht="21" customHeight="1"/>
    <row r="755" ht="21" customHeight="1"/>
    <row r="756" ht="21" customHeight="1"/>
    <row r="757" ht="21" customHeight="1"/>
    <row r="758" ht="21" customHeight="1"/>
    <row r="759" ht="21" customHeight="1"/>
    <row r="760" ht="21" customHeight="1"/>
    <row r="761" ht="21" customHeight="1"/>
    <row r="762" ht="21" customHeight="1"/>
    <row r="763" ht="21" customHeight="1"/>
    <row r="764" ht="21" customHeight="1"/>
    <row r="765" ht="21" customHeight="1"/>
    <row r="766" ht="21" customHeight="1"/>
    <row r="767" ht="21" customHeight="1"/>
    <row r="768" ht="21" customHeight="1"/>
    <row r="769" ht="21" customHeight="1"/>
    <row r="770" ht="21" customHeight="1"/>
    <row r="771" ht="21" customHeight="1"/>
    <row r="772" ht="21" customHeight="1"/>
    <row r="773" ht="21" customHeight="1"/>
    <row r="774" ht="21" customHeight="1"/>
    <row r="775" ht="21" customHeight="1"/>
    <row r="776" ht="21" customHeight="1"/>
    <row r="777" ht="21" customHeight="1"/>
    <row r="778" ht="21" customHeight="1"/>
    <row r="779" ht="21" customHeight="1"/>
    <row r="780" ht="21" customHeight="1"/>
    <row r="781" ht="21" customHeight="1"/>
    <row r="782" ht="21" customHeight="1"/>
    <row r="783" ht="21" customHeight="1"/>
    <row r="784" ht="21" customHeight="1"/>
    <row r="785" ht="21" customHeight="1"/>
    <row r="786" ht="21" customHeight="1"/>
    <row r="787" ht="21" customHeight="1"/>
    <row r="788" ht="21" customHeight="1"/>
    <row r="789" ht="21" customHeight="1"/>
    <row r="790" ht="21" customHeight="1"/>
    <row r="791" ht="21" customHeight="1"/>
    <row r="792" ht="21" customHeight="1"/>
    <row r="793" ht="21" customHeight="1"/>
    <row r="794" ht="21" customHeight="1"/>
    <row r="795" ht="21" customHeight="1"/>
    <row r="796" ht="21" customHeight="1"/>
    <row r="797" ht="21" customHeight="1"/>
    <row r="798" ht="21" customHeight="1"/>
    <row r="799" ht="21" customHeight="1"/>
    <row r="800" ht="21" customHeight="1"/>
    <row r="801" ht="21" customHeight="1"/>
    <row r="802" ht="21" customHeight="1"/>
    <row r="803" ht="21" customHeight="1"/>
    <row r="804" ht="21" customHeight="1"/>
    <row r="805" ht="21" customHeight="1"/>
    <row r="806" ht="21" customHeight="1"/>
    <row r="807" ht="21" customHeight="1"/>
    <row r="808" ht="21" customHeight="1"/>
    <row r="809" ht="21" customHeight="1"/>
    <row r="810" ht="21" customHeight="1"/>
    <row r="811" ht="21" customHeight="1"/>
    <row r="812" ht="21" customHeight="1"/>
    <row r="813" ht="21" customHeight="1"/>
    <row r="814" ht="21" customHeight="1"/>
    <row r="815" ht="21" customHeight="1"/>
    <row r="816" ht="21" customHeight="1"/>
    <row r="817" ht="21" customHeight="1"/>
    <row r="818" ht="21" customHeight="1"/>
    <row r="819" ht="21" customHeight="1"/>
    <row r="820" ht="21" customHeight="1"/>
    <row r="821" ht="21" customHeight="1"/>
    <row r="822" ht="21" customHeight="1"/>
    <row r="823" ht="21" customHeight="1"/>
    <row r="824" ht="21" customHeight="1"/>
    <row r="825" ht="21" customHeight="1"/>
    <row r="826" ht="21" customHeight="1"/>
    <row r="827" ht="21" customHeight="1"/>
    <row r="828" ht="21" customHeight="1"/>
    <row r="829" ht="21" customHeight="1"/>
    <row r="830" ht="21" customHeight="1"/>
    <row r="831" ht="21" customHeight="1"/>
    <row r="832" ht="21" customHeight="1"/>
    <row r="833" ht="21" customHeight="1"/>
    <row r="834" ht="21" customHeight="1"/>
    <row r="835" ht="21" customHeight="1"/>
    <row r="836" ht="21" customHeight="1"/>
    <row r="837" ht="21" customHeight="1"/>
    <row r="838" ht="21" customHeight="1"/>
    <row r="839" ht="21" customHeight="1"/>
    <row r="840" ht="21" customHeight="1"/>
    <row r="841" ht="21" customHeight="1"/>
    <row r="842" ht="21" customHeight="1"/>
    <row r="843" ht="21" customHeight="1"/>
    <row r="844" ht="21" customHeight="1"/>
    <row r="845" ht="21" customHeight="1"/>
    <row r="846" ht="21" customHeight="1"/>
    <row r="847" ht="21" customHeight="1"/>
    <row r="848" ht="21" customHeight="1"/>
    <row r="849" ht="21" customHeight="1"/>
    <row r="850" ht="21" customHeight="1"/>
    <row r="851" ht="21" customHeight="1"/>
    <row r="852" ht="21" customHeight="1"/>
    <row r="853" ht="21" customHeight="1"/>
    <row r="854" ht="21" customHeight="1"/>
    <row r="855" ht="21" customHeight="1"/>
    <row r="856" ht="21" customHeight="1"/>
    <row r="857" ht="21" customHeight="1"/>
    <row r="858" ht="21" customHeight="1"/>
    <row r="859" ht="21" customHeight="1"/>
    <row r="860" ht="21" customHeight="1"/>
    <row r="861" ht="21" customHeight="1"/>
    <row r="862" ht="21" customHeight="1"/>
    <row r="863" ht="21" customHeight="1"/>
    <row r="864" ht="21" customHeight="1"/>
    <row r="865" ht="21" customHeight="1"/>
    <row r="866" ht="21" customHeight="1"/>
    <row r="867" ht="21" customHeight="1"/>
    <row r="868" ht="21" customHeight="1"/>
    <row r="869" ht="21" customHeight="1"/>
    <row r="870" ht="21" customHeight="1"/>
    <row r="871" ht="21" customHeight="1"/>
    <row r="872" ht="21" customHeight="1"/>
    <row r="873" ht="21" customHeight="1"/>
    <row r="874" ht="21" customHeight="1"/>
    <row r="875" ht="21" customHeight="1"/>
    <row r="876" ht="21" customHeight="1"/>
    <row r="877" ht="21" customHeight="1"/>
    <row r="878" ht="21" customHeight="1"/>
    <row r="879" ht="21" customHeight="1"/>
    <row r="880" ht="21" customHeight="1"/>
    <row r="881" ht="21" customHeight="1"/>
    <row r="882" ht="21" customHeight="1"/>
    <row r="883" ht="21" customHeight="1"/>
    <row r="884" ht="21" customHeight="1"/>
    <row r="885" ht="21" customHeight="1"/>
    <row r="886" ht="21" customHeight="1"/>
    <row r="887" ht="21" customHeight="1"/>
    <row r="888" ht="21" customHeight="1"/>
    <row r="889" ht="21" customHeight="1"/>
    <row r="890" ht="21" customHeight="1"/>
    <row r="891" ht="21" customHeight="1"/>
    <row r="892" ht="21" customHeight="1"/>
    <row r="893" ht="21" customHeight="1"/>
    <row r="894" ht="21" customHeight="1"/>
    <row r="895" ht="21" customHeight="1"/>
    <row r="896" ht="21" customHeight="1"/>
    <row r="897" ht="21" customHeight="1"/>
    <row r="898" ht="21" customHeight="1"/>
    <row r="899" ht="21" customHeight="1"/>
    <row r="900" ht="21" customHeight="1"/>
    <row r="901" ht="21" customHeight="1"/>
    <row r="902" ht="21" customHeight="1"/>
    <row r="903" ht="21" customHeight="1"/>
    <row r="904" ht="21" customHeight="1"/>
    <row r="905" ht="21" customHeight="1"/>
    <row r="906" ht="21" customHeight="1"/>
    <row r="907" ht="21" customHeight="1"/>
    <row r="908" ht="21" customHeight="1"/>
    <row r="909" ht="21" customHeight="1"/>
    <row r="910" ht="21" customHeight="1"/>
    <row r="911" ht="21" customHeight="1"/>
    <row r="912" ht="21" customHeight="1"/>
    <row r="913" ht="21" customHeight="1"/>
    <row r="914" ht="21" customHeight="1"/>
    <row r="915" ht="21" customHeight="1"/>
    <row r="916" ht="21" customHeight="1"/>
    <row r="917" ht="21" customHeight="1"/>
    <row r="918" ht="21" customHeight="1"/>
    <row r="919" ht="21" customHeight="1"/>
    <row r="920" ht="21" customHeight="1"/>
    <row r="921" ht="21" customHeight="1"/>
    <row r="922" ht="21" customHeight="1"/>
    <row r="923" ht="21" customHeight="1"/>
    <row r="924" ht="21" customHeight="1"/>
    <row r="925" ht="21" customHeight="1"/>
    <row r="926" ht="21" customHeight="1"/>
    <row r="927" ht="21" customHeight="1"/>
    <row r="928" ht="21" customHeight="1"/>
    <row r="929" ht="21" customHeight="1"/>
    <row r="930" ht="21" customHeight="1"/>
    <row r="931" ht="21" customHeight="1"/>
    <row r="932" ht="21" customHeight="1"/>
    <row r="933" ht="21" customHeight="1"/>
    <row r="934" ht="21" customHeight="1"/>
    <row r="935" ht="21" customHeight="1"/>
    <row r="936" ht="21" customHeight="1"/>
    <row r="937" ht="21" customHeight="1"/>
    <row r="938" ht="21" customHeight="1"/>
    <row r="939" ht="21" customHeight="1"/>
    <row r="940" ht="21" customHeight="1"/>
    <row r="941" ht="21" customHeight="1"/>
    <row r="942" ht="21" customHeight="1"/>
    <row r="943" ht="21" customHeight="1"/>
    <row r="944" ht="21" customHeight="1"/>
    <row r="945" ht="21" customHeight="1"/>
    <row r="946" ht="21" customHeight="1"/>
    <row r="947" ht="21" customHeight="1"/>
    <row r="948" ht="21" customHeight="1"/>
    <row r="949" ht="21" customHeight="1"/>
    <row r="950" ht="21" customHeight="1"/>
    <row r="951" ht="21" customHeight="1"/>
    <row r="952" ht="21" customHeight="1"/>
    <row r="953" ht="21" customHeight="1"/>
    <row r="954" ht="21" customHeight="1"/>
    <row r="955" ht="21" customHeight="1"/>
    <row r="956" ht="21" customHeight="1"/>
    <row r="957" ht="21" customHeight="1"/>
    <row r="958" ht="21" customHeight="1"/>
    <row r="959" ht="21" customHeight="1"/>
    <row r="960" ht="21" customHeight="1"/>
    <row r="961" ht="21" customHeight="1"/>
    <row r="962" ht="21" customHeight="1"/>
    <row r="963" ht="21" customHeight="1"/>
    <row r="964" ht="21" customHeight="1"/>
    <row r="965" ht="21" customHeight="1"/>
    <row r="966" ht="21" customHeight="1"/>
    <row r="967" ht="21" customHeight="1"/>
    <row r="968" ht="21" customHeight="1"/>
    <row r="969" ht="21" customHeight="1"/>
    <row r="970" ht="21" customHeight="1"/>
    <row r="971" ht="21" customHeight="1"/>
    <row r="972" ht="21" customHeight="1"/>
    <row r="973" ht="21" customHeight="1"/>
    <row r="974" ht="21" customHeight="1"/>
    <row r="975" ht="21" customHeight="1"/>
    <row r="976" ht="21" customHeight="1"/>
    <row r="977" ht="21" customHeight="1"/>
    <row r="978" ht="21" customHeight="1"/>
    <row r="979" ht="21" customHeight="1"/>
    <row r="980" ht="21" customHeight="1"/>
    <row r="981" ht="21" customHeight="1"/>
    <row r="982" ht="21" customHeight="1"/>
    <row r="983" ht="21" customHeight="1"/>
    <row r="984" ht="21" customHeight="1"/>
    <row r="985" ht="21" customHeight="1"/>
    <row r="986" ht="21" customHeight="1"/>
    <row r="987" ht="21" customHeight="1"/>
    <row r="988" ht="21" customHeight="1"/>
    <row r="989" ht="21" customHeight="1"/>
    <row r="990" ht="21" customHeight="1"/>
    <row r="991" ht="21" customHeight="1"/>
    <row r="992" ht="21" customHeight="1"/>
    <row r="993" ht="21" customHeight="1"/>
    <row r="994" ht="21" customHeight="1"/>
    <row r="995" ht="21" customHeight="1"/>
    <row r="996" ht="21" customHeight="1"/>
    <row r="997" ht="21" customHeight="1"/>
    <row r="998" ht="21" customHeight="1"/>
    <row r="999" ht="21" customHeight="1"/>
    <row r="1000" ht="21" customHeight="1"/>
  </sheetData>
  <conditionalFormatting sqref="N2:N9">
    <cfRule type="expression" dxfId="28" priority="1">
      <formula>N2="Pass"</formula>
    </cfRule>
  </conditionalFormatting>
  <conditionalFormatting sqref="N2:N9">
    <cfRule type="expression" dxfId="27" priority="2">
      <formula>N2="Fail"</formula>
    </cfRule>
  </conditionalFormatting>
  <conditionalFormatting sqref="N2:N9">
    <cfRule type="expression" dxfId="26" priority="3">
      <formula>N2="Blocked"</formula>
    </cfRule>
  </conditionalFormatting>
  <conditionalFormatting sqref="Q2:Q9">
    <cfRule type="expression" dxfId="25" priority="4">
      <formula>Q2="Yes"</formula>
    </cfRule>
  </conditionalFormatting>
  <conditionalFormatting sqref="Q2:Q9">
    <cfRule type="expression" dxfId="24" priority="5">
      <formula>Q2="Later"</formula>
    </cfRule>
  </conditionalFormatting>
  <conditionalFormatting sqref="Q2:Q9">
    <cfRule type="expression" dxfId="23" priority="6">
      <formula>Q2="No"</formula>
    </cfRule>
  </conditionalFormatting>
  <conditionalFormatting sqref="O2:O9">
    <cfRule type="expression" dxfId="22" priority="7">
      <formula>O2="High"</formula>
    </cfRule>
  </conditionalFormatting>
  <dataValidations count="4">
    <dataValidation type="list" allowBlank="1" sqref="R2:R9" xr:uid="{00000000-0002-0000-0400-000000000000}">
      <formula1>"P1,P2,P3,P4"</formula1>
    </dataValidation>
    <dataValidation type="list" allowBlank="1" sqref="O2:O9" xr:uid="{00000000-0002-0000-0400-000001000000}">
      <formula1>"High,Medium,Low"</formula1>
    </dataValidation>
    <dataValidation type="list" allowBlank="1" sqref="N2:N9" xr:uid="{00000000-0002-0000-0400-000002000000}">
      <formula1>"Not Run,Pass,Fail,Blocked,Retest"</formula1>
    </dataValidation>
    <dataValidation type="list" allowBlank="1" sqref="Q2:Q9" xr:uid="{00000000-0002-0000-0400-000003000000}">
      <formula1>"Yes,Later,No"</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I1" workbookViewId="0">
      <selection activeCell="Q7" sqref="Q7"/>
    </sheetView>
  </sheetViews>
  <sheetFormatPr baseColWidth="10" defaultColWidth="12.6640625" defaultRowHeight="15"/>
  <cols>
    <col min="1" max="1" width="16" customWidth="1"/>
    <col min="2" max="2" width="10" customWidth="1"/>
    <col min="3" max="3" width="28" customWidth="1"/>
    <col min="4" max="4" width="10" customWidth="1"/>
    <col min="5" max="5" width="26" customWidth="1"/>
    <col min="6" max="6" width="12" customWidth="1"/>
    <col min="7" max="7" width="28" customWidth="1"/>
    <col min="8" max="8" width="42" customWidth="1"/>
    <col min="9" max="9" width="38" customWidth="1"/>
    <col min="10" max="10" width="52" customWidth="1"/>
    <col min="11" max="11" width="34" customWidth="1"/>
    <col min="12" max="13" width="44" customWidth="1"/>
    <col min="14" max="14" width="12" customWidth="1"/>
    <col min="15" max="15" width="10" customWidth="1"/>
    <col min="16" max="16" width="22" customWidth="1"/>
    <col min="17" max="17" width="20" customWidth="1"/>
    <col min="18" max="19" width="12" customWidth="1"/>
    <col min="20" max="20" width="36" customWidth="1"/>
    <col min="21" max="21" width="30" customWidth="1"/>
    <col min="22" max="22" width="42" customWidth="1"/>
    <col min="23" max="26" width="8.6640625" customWidth="1"/>
  </cols>
  <sheetData>
    <row r="1" spans="1:26" ht="42" customHeight="1">
      <c r="A1" s="2" t="s">
        <v>62</v>
      </c>
      <c r="B1" s="2" t="s">
        <v>17</v>
      </c>
      <c r="C1" s="2" t="s">
        <v>18</v>
      </c>
      <c r="D1" s="2" t="s">
        <v>63</v>
      </c>
      <c r="E1" s="2" t="s">
        <v>64</v>
      </c>
      <c r="F1" s="2" t="s">
        <v>65</v>
      </c>
      <c r="G1" s="2" t="s">
        <v>66</v>
      </c>
      <c r="H1" s="2" t="s">
        <v>67</v>
      </c>
      <c r="I1" s="2" t="s">
        <v>68</v>
      </c>
      <c r="J1" s="2" t="s">
        <v>69</v>
      </c>
      <c r="K1" s="2" t="s">
        <v>70</v>
      </c>
      <c r="L1" s="2" t="s">
        <v>71</v>
      </c>
      <c r="M1" s="2" t="s">
        <v>72</v>
      </c>
      <c r="N1" s="2" t="s">
        <v>73</v>
      </c>
      <c r="O1" s="2" t="s">
        <v>74</v>
      </c>
      <c r="P1" s="2" t="s">
        <v>75</v>
      </c>
      <c r="Q1" s="2" t="s">
        <v>76</v>
      </c>
      <c r="R1" s="2" t="s">
        <v>77</v>
      </c>
      <c r="S1" s="2" t="s">
        <v>78</v>
      </c>
      <c r="T1" s="2" t="s">
        <v>79</v>
      </c>
      <c r="U1" s="2" t="s">
        <v>80</v>
      </c>
      <c r="V1" s="2" t="s">
        <v>81</v>
      </c>
    </row>
    <row r="2" spans="1:26" ht="128" customHeight="1">
      <c r="A2" s="5" t="s">
        <v>423</v>
      </c>
      <c r="B2" s="5" t="s">
        <v>40</v>
      </c>
      <c r="C2" s="5" t="s">
        <v>41</v>
      </c>
      <c r="D2" s="5" t="s">
        <v>424</v>
      </c>
      <c r="E2" s="5" t="s">
        <v>425</v>
      </c>
      <c r="F2" s="5" t="s">
        <v>130</v>
      </c>
      <c r="G2" s="5" t="s">
        <v>426</v>
      </c>
      <c r="H2" s="5" t="s">
        <v>427</v>
      </c>
      <c r="I2" s="5" t="s">
        <v>187</v>
      </c>
      <c r="J2" s="5" t="s">
        <v>428</v>
      </c>
      <c r="K2" s="5" t="s">
        <v>633</v>
      </c>
      <c r="L2" s="5" t="s">
        <v>429</v>
      </c>
      <c r="M2" s="5"/>
      <c r="N2" s="5" t="s">
        <v>25</v>
      </c>
      <c r="O2" s="5" t="s">
        <v>114</v>
      </c>
      <c r="P2" s="5" t="s">
        <v>92</v>
      </c>
      <c r="Q2" s="5" t="s">
        <v>93</v>
      </c>
      <c r="R2" s="5" t="s">
        <v>94</v>
      </c>
      <c r="S2" s="5"/>
      <c r="T2" s="5"/>
      <c r="U2" s="5" t="s">
        <v>430</v>
      </c>
      <c r="V2" s="5" t="s">
        <v>96</v>
      </c>
      <c r="W2" s="7"/>
      <c r="X2" s="7"/>
      <c r="Y2" s="7"/>
      <c r="Z2" s="7"/>
    </row>
    <row r="3" spans="1:26" ht="128" customHeight="1">
      <c r="A3" s="5" t="s">
        <v>431</v>
      </c>
      <c r="B3" s="5" t="s">
        <v>40</v>
      </c>
      <c r="C3" s="5" t="s">
        <v>41</v>
      </c>
      <c r="D3" s="5" t="s">
        <v>424</v>
      </c>
      <c r="E3" s="5" t="s">
        <v>425</v>
      </c>
      <c r="F3" s="5" t="s">
        <v>130</v>
      </c>
      <c r="G3" s="5" t="s">
        <v>432</v>
      </c>
      <c r="H3" s="5" t="s">
        <v>433</v>
      </c>
      <c r="I3" s="5" t="s">
        <v>434</v>
      </c>
      <c r="J3" s="5" t="s">
        <v>435</v>
      </c>
      <c r="K3" s="5" t="s">
        <v>634</v>
      </c>
      <c r="L3" s="5" t="s">
        <v>436</v>
      </c>
      <c r="M3" s="5"/>
      <c r="N3" s="6" t="s">
        <v>25</v>
      </c>
      <c r="O3" s="5" t="s">
        <v>273</v>
      </c>
      <c r="P3" s="5" t="s">
        <v>92</v>
      </c>
      <c r="Q3" s="5" t="s">
        <v>116</v>
      </c>
      <c r="R3" s="5" t="s">
        <v>117</v>
      </c>
      <c r="S3" s="5"/>
      <c r="T3" s="5"/>
      <c r="U3" s="5" t="s">
        <v>437</v>
      </c>
      <c r="V3" s="5" t="s">
        <v>96</v>
      </c>
      <c r="W3" s="7"/>
      <c r="X3" s="7"/>
      <c r="Y3" s="7"/>
      <c r="Z3" s="7"/>
    </row>
    <row r="4" spans="1:26" ht="128" customHeight="1">
      <c r="A4" s="5" t="s">
        <v>438</v>
      </c>
      <c r="B4" s="5" t="s">
        <v>40</v>
      </c>
      <c r="C4" s="5" t="s">
        <v>41</v>
      </c>
      <c r="D4" s="5" t="s">
        <v>424</v>
      </c>
      <c r="E4" s="5" t="s">
        <v>425</v>
      </c>
      <c r="F4" s="5" t="s">
        <v>108</v>
      </c>
      <c r="G4" s="5" t="s">
        <v>439</v>
      </c>
      <c r="H4" s="5" t="s">
        <v>440</v>
      </c>
      <c r="I4" s="5" t="s">
        <v>434</v>
      </c>
      <c r="J4" s="5" t="s">
        <v>441</v>
      </c>
      <c r="K4" s="5" t="s">
        <v>635</v>
      </c>
      <c r="L4" s="5" t="s">
        <v>272</v>
      </c>
      <c r="M4" s="5"/>
      <c r="N4" s="6" t="s">
        <v>25</v>
      </c>
      <c r="O4" s="5" t="s">
        <v>273</v>
      </c>
      <c r="P4" s="5" t="s">
        <v>115</v>
      </c>
      <c r="Q4" s="5" t="s">
        <v>116</v>
      </c>
      <c r="R4" s="5" t="s">
        <v>117</v>
      </c>
      <c r="S4" s="5"/>
      <c r="T4" s="5"/>
      <c r="U4" s="5" t="s">
        <v>118</v>
      </c>
      <c r="V4" s="5" t="s">
        <v>96</v>
      </c>
      <c r="W4" s="7"/>
      <c r="X4" s="7"/>
      <c r="Y4" s="7"/>
      <c r="Z4" s="7"/>
    </row>
    <row r="5" spans="1:26" ht="128" customHeight="1">
      <c r="A5" s="5" t="s">
        <v>442</v>
      </c>
      <c r="B5" s="5" t="s">
        <v>40</v>
      </c>
      <c r="C5" s="5" t="s">
        <v>41</v>
      </c>
      <c r="D5" s="5" t="s">
        <v>443</v>
      </c>
      <c r="E5" s="5" t="s">
        <v>444</v>
      </c>
      <c r="F5" s="5" t="s">
        <v>130</v>
      </c>
      <c r="G5" s="5" t="s">
        <v>445</v>
      </c>
      <c r="H5" s="5" t="s">
        <v>446</v>
      </c>
      <c r="I5" s="5" t="s">
        <v>187</v>
      </c>
      <c r="J5" s="5" t="s">
        <v>447</v>
      </c>
      <c r="K5" s="5" t="s">
        <v>636</v>
      </c>
      <c r="L5" s="5" t="s">
        <v>448</v>
      </c>
      <c r="M5" s="5"/>
      <c r="N5" s="6" t="s">
        <v>25</v>
      </c>
      <c r="O5" s="5" t="s">
        <v>114</v>
      </c>
      <c r="P5" s="5" t="s">
        <v>92</v>
      </c>
      <c r="Q5" s="5" t="s">
        <v>93</v>
      </c>
      <c r="R5" s="5" t="s">
        <v>94</v>
      </c>
      <c r="S5" s="5"/>
      <c r="T5" s="5"/>
      <c r="U5" s="5" t="s">
        <v>449</v>
      </c>
      <c r="V5" s="5" t="s">
        <v>96</v>
      </c>
      <c r="W5" s="7"/>
      <c r="X5" s="7"/>
      <c r="Y5" s="7"/>
      <c r="Z5" s="7"/>
    </row>
    <row r="6" spans="1:26" ht="128" customHeight="1">
      <c r="A6" s="5" t="s">
        <v>450</v>
      </c>
      <c r="B6" s="5" t="s">
        <v>40</v>
      </c>
      <c r="C6" s="5" t="s">
        <v>41</v>
      </c>
      <c r="D6" s="5" t="s">
        <v>443</v>
      </c>
      <c r="E6" s="5" t="s">
        <v>444</v>
      </c>
      <c r="F6" s="5" t="s">
        <v>138</v>
      </c>
      <c r="G6" s="5" t="s">
        <v>451</v>
      </c>
      <c r="H6" s="5" t="s">
        <v>452</v>
      </c>
      <c r="I6" s="5" t="s">
        <v>453</v>
      </c>
      <c r="J6" s="5" t="s">
        <v>447</v>
      </c>
      <c r="K6" s="5" t="s">
        <v>637</v>
      </c>
      <c r="L6" s="5" t="s">
        <v>448</v>
      </c>
      <c r="M6" s="5"/>
      <c r="N6" s="6" t="s">
        <v>25</v>
      </c>
      <c r="O6" s="5" t="s">
        <v>114</v>
      </c>
      <c r="P6" s="5" t="s">
        <v>92</v>
      </c>
      <c r="Q6" s="5" t="s">
        <v>116</v>
      </c>
      <c r="R6" s="5" t="s">
        <v>117</v>
      </c>
      <c r="S6" s="5"/>
      <c r="T6" s="5"/>
      <c r="U6" s="5" t="s">
        <v>454</v>
      </c>
      <c r="V6" s="5" t="s">
        <v>96</v>
      </c>
      <c r="W6" s="7"/>
      <c r="X6" s="7"/>
      <c r="Y6" s="7"/>
      <c r="Z6" s="7"/>
    </row>
    <row r="7" spans="1:26" ht="128" customHeight="1">
      <c r="A7" s="5" t="s">
        <v>455</v>
      </c>
      <c r="B7" s="5" t="s">
        <v>40</v>
      </c>
      <c r="C7" s="5" t="s">
        <v>41</v>
      </c>
      <c r="D7" s="5" t="s">
        <v>443</v>
      </c>
      <c r="E7" s="5" t="s">
        <v>444</v>
      </c>
      <c r="F7" s="5" t="s">
        <v>108</v>
      </c>
      <c r="G7" s="5" t="s">
        <v>456</v>
      </c>
      <c r="H7" s="5" t="s">
        <v>457</v>
      </c>
      <c r="I7" s="5" t="s">
        <v>458</v>
      </c>
      <c r="J7" s="5" t="s">
        <v>459</v>
      </c>
      <c r="K7" s="5" t="s">
        <v>638</v>
      </c>
      <c r="L7" s="5" t="s">
        <v>460</v>
      </c>
      <c r="M7" s="5"/>
      <c r="N7" s="6" t="s">
        <v>25</v>
      </c>
      <c r="O7" s="5" t="s">
        <v>273</v>
      </c>
      <c r="P7" s="5" t="s">
        <v>115</v>
      </c>
      <c r="Q7" s="5" t="s">
        <v>116</v>
      </c>
      <c r="R7" s="5" t="s">
        <v>117</v>
      </c>
      <c r="S7" s="5"/>
      <c r="T7" s="5"/>
      <c r="U7" s="5" t="s">
        <v>118</v>
      </c>
      <c r="V7" s="5" t="s">
        <v>96</v>
      </c>
      <c r="W7" s="7"/>
      <c r="X7" s="7"/>
      <c r="Y7" s="7"/>
      <c r="Z7" s="7"/>
    </row>
    <row r="21" ht="21" customHeight="1"/>
    <row r="22" ht="21" customHeight="1"/>
    <row r="23" ht="21" customHeight="1"/>
    <row r="24" ht="21" customHeight="1"/>
    <row r="25" ht="21" customHeight="1"/>
    <row r="26" ht="21" customHeight="1"/>
    <row r="27" ht="21" customHeight="1"/>
    <row r="28" ht="21" customHeight="1"/>
    <row r="29" ht="21" customHeight="1"/>
    <row r="30" ht="21" customHeight="1"/>
    <row r="31" ht="21" customHeight="1"/>
    <row r="32" ht="21" customHeight="1"/>
    <row r="33" ht="21" customHeight="1"/>
    <row r="34" ht="21" customHeight="1"/>
    <row r="35" ht="21" customHeight="1"/>
    <row r="36" ht="21" customHeight="1"/>
    <row r="37" ht="21" customHeight="1"/>
    <row r="38" ht="21" customHeight="1"/>
    <row r="39" ht="21" customHeight="1"/>
    <row r="40" ht="21" customHeight="1"/>
    <row r="41" ht="21" customHeight="1"/>
    <row r="42" ht="21" customHeight="1"/>
    <row r="43" ht="21" customHeight="1"/>
    <row r="44" ht="21" customHeight="1"/>
    <row r="45" ht="21" customHeight="1"/>
    <row r="46" ht="21" customHeight="1"/>
    <row r="47" ht="21" customHeight="1"/>
    <row r="48"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row r="350" ht="21" customHeight="1"/>
    <row r="351" ht="21" customHeight="1"/>
    <row r="352" ht="21" customHeight="1"/>
    <row r="353" ht="21" customHeight="1"/>
    <row r="354" ht="21" customHeight="1"/>
    <row r="355" ht="21" customHeight="1"/>
    <row r="356" ht="21" customHeight="1"/>
    <row r="357" ht="21" customHeight="1"/>
    <row r="358" ht="21" customHeight="1"/>
    <row r="359" ht="21" customHeight="1"/>
    <row r="360" ht="21" customHeight="1"/>
    <row r="361" ht="21" customHeight="1"/>
    <row r="362" ht="21" customHeight="1"/>
    <row r="363" ht="21" customHeight="1"/>
    <row r="364" ht="21" customHeight="1"/>
    <row r="365" ht="21" customHeight="1"/>
    <row r="366" ht="21" customHeight="1"/>
    <row r="367" ht="21" customHeight="1"/>
    <row r="368" ht="21" customHeight="1"/>
    <row r="369" ht="21" customHeight="1"/>
    <row r="370" ht="21" customHeight="1"/>
    <row r="371" ht="21" customHeight="1"/>
    <row r="372" ht="21" customHeight="1"/>
    <row r="373" ht="21" customHeight="1"/>
    <row r="374" ht="21" customHeight="1"/>
    <row r="375" ht="21" customHeight="1"/>
    <row r="376" ht="21" customHeight="1"/>
    <row r="377" ht="21" customHeight="1"/>
    <row r="378" ht="21" customHeight="1"/>
    <row r="379" ht="21" customHeight="1"/>
    <row r="380" ht="21" customHeight="1"/>
    <row r="381" ht="21" customHeight="1"/>
    <row r="382" ht="21" customHeight="1"/>
    <row r="383" ht="21" customHeight="1"/>
    <row r="384" ht="21" customHeight="1"/>
    <row r="385" ht="21" customHeight="1"/>
    <row r="386" ht="21" customHeight="1"/>
    <row r="387" ht="21" customHeight="1"/>
    <row r="388" ht="21" customHeight="1"/>
    <row r="389" ht="21" customHeight="1"/>
    <row r="390" ht="21" customHeight="1"/>
    <row r="391" ht="21" customHeight="1"/>
    <row r="392" ht="21" customHeight="1"/>
    <row r="393" ht="21" customHeight="1"/>
    <row r="394" ht="21" customHeight="1"/>
    <row r="395" ht="21" customHeight="1"/>
    <row r="396" ht="21" customHeight="1"/>
    <row r="397" ht="21" customHeight="1"/>
    <row r="398" ht="21" customHeight="1"/>
    <row r="399" ht="21" customHeight="1"/>
    <row r="400" ht="21" customHeight="1"/>
    <row r="401" ht="21" customHeight="1"/>
    <row r="402" ht="21" customHeight="1"/>
    <row r="403" ht="21" customHeight="1"/>
    <row r="404" ht="21" customHeight="1"/>
    <row r="405" ht="21" customHeight="1"/>
    <row r="406" ht="21" customHeight="1"/>
    <row r="407" ht="21" customHeight="1"/>
    <row r="408" ht="21" customHeight="1"/>
    <row r="409" ht="21" customHeight="1"/>
    <row r="410" ht="21" customHeight="1"/>
    <row r="411" ht="21" customHeight="1"/>
    <row r="412" ht="21" customHeight="1"/>
    <row r="413" ht="21" customHeight="1"/>
    <row r="414" ht="21" customHeight="1"/>
    <row r="415" ht="21" customHeight="1"/>
    <row r="416" ht="21" customHeight="1"/>
    <row r="417" ht="21" customHeight="1"/>
    <row r="418" ht="21" customHeight="1"/>
    <row r="419" ht="21" customHeight="1"/>
    <row r="420" ht="21" customHeight="1"/>
    <row r="421" ht="21" customHeight="1"/>
    <row r="422" ht="21" customHeight="1"/>
    <row r="423" ht="21" customHeight="1"/>
    <row r="424" ht="21" customHeight="1"/>
    <row r="425" ht="21" customHeight="1"/>
    <row r="426" ht="21" customHeight="1"/>
    <row r="427" ht="21" customHeight="1"/>
    <row r="428" ht="21" customHeight="1"/>
    <row r="429" ht="21" customHeight="1"/>
    <row r="430" ht="21" customHeight="1"/>
    <row r="431" ht="21" customHeight="1"/>
    <row r="432" ht="21" customHeight="1"/>
    <row r="433" ht="21" customHeight="1"/>
    <row r="434" ht="21" customHeight="1"/>
    <row r="435" ht="21" customHeight="1"/>
    <row r="436" ht="21" customHeight="1"/>
    <row r="437" ht="21" customHeight="1"/>
    <row r="438" ht="21" customHeight="1"/>
    <row r="439" ht="21" customHeight="1"/>
    <row r="440" ht="21" customHeight="1"/>
    <row r="441" ht="21" customHeight="1"/>
    <row r="442" ht="21" customHeight="1"/>
    <row r="443" ht="21" customHeight="1"/>
    <row r="444" ht="21" customHeight="1"/>
    <row r="445" ht="21" customHeight="1"/>
    <row r="446" ht="21" customHeight="1"/>
    <row r="447" ht="21" customHeight="1"/>
    <row r="448" ht="21" customHeight="1"/>
    <row r="449" ht="21" customHeight="1"/>
    <row r="450" ht="21" customHeight="1"/>
    <row r="451" ht="21" customHeight="1"/>
    <row r="452" ht="21" customHeight="1"/>
    <row r="453" ht="21" customHeight="1"/>
    <row r="454" ht="21" customHeight="1"/>
    <row r="455" ht="21" customHeight="1"/>
    <row r="456" ht="21" customHeight="1"/>
    <row r="457" ht="21" customHeight="1"/>
    <row r="458" ht="21" customHeight="1"/>
    <row r="459" ht="21" customHeight="1"/>
    <row r="460" ht="21" customHeight="1"/>
    <row r="461" ht="21" customHeight="1"/>
    <row r="462" ht="21" customHeight="1"/>
    <row r="463" ht="21" customHeight="1"/>
    <row r="464" ht="21" customHeight="1"/>
    <row r="465" ht="21" customHeight="1"/>
    <row r="466" ht="21" customHeight="1"/>
    <row r="467" ht="21" customHeight="1"/>
    <row r="468" ht="21" customHeight="1"/>
    <row r="469" ht="21" customHeight="1"/>
    <row r="470" ht="21" customHeight="1"/>
    <row r="471" ht="21" customHeight="1"/>
    <row r="472" ht="21" customHeight="1"/>
    <row r="473" ht="21" customHeight="1"/>
    <row r="474" ht="21" customHeight="1"/>
    <row r="475" ht="21" customHeight="1"/>
    <row r="476" ht="21" customHeight="1"/>
    <row r="477" ht="21" customHeight="1"/>
    <row r="478" ht="21" customHeight="1"/>
    <row r="479" ht="21" customHeight="1"/>
    <row r="480" ht="21" customHeight="1"/>
    <row r="481" ht="21" customHeight="1"/>
    <row r="482" ht="21" customHeight="1"/>
    <row r="483" ht="21" customHeight="1"/>
    <row r="484" ht="21" customHeight="1"/>
    <row r="485" ht="21" customHeight="1"/>
    <row r="486" ht="21" customHeight="1"/>
    <row r="487" ht="21" customHeight="1"/>
    <row r="488" ht="21" customHeight="1"/>
    <row r="489" ht="21" customHeight="1"/>
    <row r="490" ht="21" customHeight="1"/>
    <row r="491" ht="21" customHeight="1"/>
    <row r="492" ht="21" customHeight="1"/>
    <row r="493" ht="21" customHeight="1"/>
    <row r="494" ht="21" customHeight="1"/>
    <row r="495" ht="21" customHeight="1"/>
    <row r="496" ht="21" customHeight="1"/>
    <row r="497" ht="21" customHeight="1"/>
    <row r="498" ht="21" customHeight="1"/>
    <row r="499" ht="21" customHeight="1"/>
    <row r="500" ht="21" customHeight="1"/>
    <row r="501" ht="21" customHeight="1"/>
    <row r="502" ht="21" customHeight="1"/>
    <row r="503" ht="21" customHeight="1"/>
    <row r="504" ht="21" customHeight="1"/>
    <row r="505" ht="21" customHeight="1"/>
    <row r="506" ht="21" customHeight="1"/>
    <row r="507" ht="21" customHeight="1"/>
    <row r="508" ht="21" customHeight="1"/>
    <row r="509" ht="21" customHeight="1"/>
    <row r="510" ht="21" customHeight="1"/>
    <row r="511" ht="21" customHeight="1"/>
    <row r="512" ht="21" customHeight="1"/>
    <row r="513" ht="21" customHeight="1"/>
    <row r="514" ht="21" customHeight="1"/>
    <row r="515" ht="21" customHeight="1"/>
    <row r="516" ht="21" customHeight="1"/>
    <row r="517" ht="21" customHeight="1"/>
    <row r="518" ht="21" customHeight="1"/>
    <row r="519" ht="21" customHeight="1"/>
    <row r="520" ht="21" customHeight="1"/>
    <row r="521" ht="21" customHeight="1"/>
    <row r="522" ht="21" customHeight="1"/>
    <row r="523" ht="21" customHeight="1"/>
    <row r="524" ht="21" customHeight="1"/>
    <row r="525" ht="21" customHeight="1"/>
    <row r="526" ht="21" customHeight="1"/>
    <row r="527" ht="21" customHeight="1"/>
    <row r="528" ht="21" customHeight="1"/>
    <row r="529" ht="21" customHeight="1"/>
    <row r="530" ht="21" customHeight="1"/>
    <row r="531" ht="21" customHeight="1"/>
    <row r="532" ht="21" customHeight="1"/>
    <row r="533" ht="21" customHeight="1"/>
    <row r="534" ht="21" customHeight="1"/>
    <row r="535" ht="21" customHeight="1"/>
    <row r="536" ht="21" customHeight="1"/>
    <row r="537" ht="21" customHeight="1"/>
    <row r="538" ht="21" customHeight="1"/>
    <row r="539" ht="21" customHeight="1"/>
    <row r="540" ht="21" customHeight="1"/>
    <row r="541" ht="21" customHeight="1"/>
    <row r="542" ht="21" customHeight="1"/>
    <row r="543" ht="21" customHeight="1"/>
    <row r="544" ht="21" customHeight="1"/>
    <row r="545" ht="21" customHeight="1"/>
    <row r="546" ht="21" customHeight="1"/>
    <row r="547" ht="21" customHeight="1"/>
    <row r="548" ht="21" customHeight="1"/>
    <row r="549" ht="21" customHeight="1"/>
    <row r="550" ht="21" customHeight="1"/>
    <row r="551" ht="21" customHeight="1"/>
    <row r="552" ht="21" customHeight="1"/>
    <row r="553" ht="21" customHeight="1"/>
    <row r="554" ht="21" customHeight="1"/>
    <row r="555" ht="21" customHeight="1"/>
    <row r="556" ht="21" customHeight="1"/>
    <row r="557" ht="21" customHeight="1"/>
    <row r="558" ht="21" customHeight="1"/>
    <row r="559" ht="21" customHeight="1"/>
    <row r="560" ht="21" customHeight="1"/>
    <row r="561" ht="21" customHeight="1"/>
    <row r="562" ht="21" customHeight="1"/>
    <row r="563" ht="21" customHeight="1"/>
    <row r="564" ht="21" customHeight="1"/>
    <row r="565" ht="21" customHeight="1"/>
    <row r="566" ht="21" customHeight="1"/>
    <row r="567" ht="21" customHeight="1"/>
    <row r="568" ht="21" customHeight="1"/>
    <row r="569" ht="21" customHeight="1"/>
    <row r="570" ht="21" customHeight="1"/>
    <row r="571" ht="21" customHeight="1"/>
    <row r="572" ht="21" customHeight="1"/>
    <row r="573" ht="21" customHeight="1"/>
    <row r="574" ht="21" customHeight="1"/>
    <row r="575" ht="21" customHeight="1"/>
    <row r="576" ht="21" customHeight="1"/>
    <row r="577" ht="21" customHeight="1"/>
    <row r="578" ht="21" customHeight="1"/>
    <row r="579" ht="21" customHeight="1"/>
    <row r="580" ht="21" customHeight="1"/>
    <row r="581" ht="21" customHeight="1"/>
    <row r="582" ht="21" customHeight="1"/>
    <row r="583" ht="21" customHeight="1"/>
    <row r="584" ht="21" customHeight="1"/>
    <row r="585" ht="21" customHeight="1"/>
    <row r="586" ht="21" customHeight="1"/>
    <row r="587" ht="21" customHeight="1"/>
    <row r="588" ht="21" customHeight="1"/>
    <row r="589" ht="21" customHeight="1"/>
    <row r="590" ht="21" customHeight="1"/>
    <row r="591" ht="21" customHeight="1"/>
    <row r="592" ht="21" customHeight="1"/>
    <row r="593" ht="21" customHeight="1"/>
    <row r="594" ht="21" customHeight="1"/>
    <row r="595" ht="21" customHeight="1"/>
    <row r="596" ht="21" customHeight="1"/>
    <row r="597" ht="21" customHeight="1"/>
    <row r="598" ht="21" customHeight="1"/>
    <row r="599" ht="21" customHeight="1"/>
    <row r="600" ht="21" customHeight="1"/>
    <row r="601" ht="21" customHeight="1"/>
    <row r="602" ht="21" customHeight="1"/>
    <row r="603" ht="21" customHeight="1"/>
    <row r="604" ht="21" customHeight="1"/>
    <row r="605" ht="21" customHeight="1"/>
    <row r="606" ht="21" customHeight="1"/>
    <row r="607" ht="21" customHeight="1"/>
    <row r="608" ht="21" customHeight="1"/>
    <row r="609" ht="21" customHeight="1"/>
    <row r="610" ht="21" customHeight="1"/>
    <row r="611" ht="21" customHeight="1"/>
    <row r="612" ht="21" customHeight="1"/>
    <row r="613" ht="21" customHeight="1"/>
    <row r="614" ht="21" customHeight="1"/>
    <row r="615" ht="21" customHeight="1"/>
    <row r="616" ht="21" customHeight="1"/>
    <row r="617" ht="21" customHeight="1"/>
    <row r="618" ht="21" customHeight="1"/>
    <row r="619" ht="21" customHeight="1"/>
    <row r="620" ht="21" customHeight="1"/>
    <row r="621" ht="21" customHeight="1"/>
    <row r="622" ht="21" customHeight="1"/>
    <row r="623" ht="21" customHeight="1"/>
    <row r="624" ht="21" customHeight="1"/>
    <row r="625" ht="21" customHeight="1"/>
    <row r="626" ht="21" customHeight="1"/>
    <row r="627" ht="21" customHeight="1"/>
    <row r="628" ht="21" customHeight="1"/>
    <row r="629" ht="21" customHeight="1"/>
    <row r="630" ht="21" customHeight="1"/>
    <row r="631" ht="21" customHeight="1"/>
    <row r="632" ht="21" customHeight="1"/>
    <row r="633" ht="21" customHeight="1"/>
    <row r="634" ht="21" customHeight="1"/>
    <row r="635" ht="21" customHeight="1"/>
    <row r="636" ht="21" customHeight="1"/>
    <row r="637" ht="21" customHeight="1"/>
    <row r="638" ht="21" customHeight="1"/>
    <row r="639" ht="21" customHeight="1"/>
    <row r="640" ht="21" customHeight="1"/>
    <row r="641" ht="21" customHeight="1"/>
    <row r="642" ht="21" customHeight="1"/>
    <row r="643" ht="21" customHeight="1"/>
    <row r="644" ht="21" customHeight="1"/>
    <row r="645" ht="21" customHeight="1"/>
    <row r="646" ht="21" customHeight="1"/>
    <row r="647" ht="21" customHeight="1"/>
    <row r="648" ht="21" customHeight="1"/>
    <row r="649" ht="21" customHeight="1"/>
    <row r="650" ht="21" customHeight="1"/>
    <row r="651" ht="21" customHeight="1"/>
    <row r="652" ht="21" customHeight="1"/>
    <row r="653" ht="21" customHeight="1"/>
    <row r="654" ht="21" customHeight="1"/>
    <row r="655" ht="21" customHeight="1"/>
    <row r="656" ht="21" customHeight="1"/>
    <row r="657" ht="21" customHeight="1"/>
    <row r="658" ht="21" customHeight="1"/>
    <row r="659" ht="21" customHeight="1"/>
    <row r="660" ht="21" customHeight="1"/>
    <row r="661" ht="21" customHeight="1"/>
    <row r="662" ht="21" customHeight="1"/>
    <row r="663" ht="21" customHeight="1"/>
    <row r="664" ht="21" customHeight="1"/>
    <row r="665" ht="21" customHeight="1"/>
    <row r="666" ht="21" customHeight="1"/>
    <row r="667" ht="21" customHeight="1"/>
    <row r="668" ht="21" customHeight="1"/>
    <row r="669" ht="21" customHeight="1"/>
    <row r="670" ht="21" customHeight="1"/>
    <row r="671" ht="21" customHeight="1"/>
    <row r="672" ht="21" customHeight="1"/>
    <row r="673" ht="21" customHeight="1"/>
    <row r="674" ht="21" customHeight="1"/>
    <row r="675" ht="21" customHeight="1"/>
    <row r="676" ht="21" customHeight="1"/>
    <row r="677" ht="21" customHeight="1"/>
    <row r="678" ht="21" customHeight="1"/>
    <row r="679" ht="21" customHeight="1"/>
    <row r="680" ht="21" customHeight="1"/>
    <row r="681" ht="21" customHeight="1"/>
    <row r="682" ht="21" customHeight="1"/>
    <row r="683" ht="21" customHeight="1"/>
    <row r="684" ht="21" customHeight="1"/>
    <row r="685" ht="21" customHeight="1"/>
    <row r="686" ht="21" customHeight="1"/>
    <row r="687" ht="21" customHeight="1"/>
    <row r="688" ht="21" customHeight="1"/>
    <row r="689" ht="21" customHeight="1"/>
    <row r="690" ht="21" customHeight="1"/>
    <row r="691" ht="21" customHeight="1"/>
    <row r="692" ht="21" customHeight="1"/>
    <row r="693" ht="21" customHeight="1"/>
    <row r="694" ht="21" customHeight="1"/>
    <row r="695" ht="21" customHeight="1"/>
    <row r="696" ht="21" customHeight="1"/>
    <row r="697" ht="21" customHeight="1"/>
    <row r="698" ht="21" customHeight="1"/>
    <row r="699" ht="21" customHeight="1"/>
    <row r="700" ht="21" customHeight="1"/>
    <row r="701" ht="21" customHeight="1"/>
    <row r="702" ht="21" customHeight="1"/>
    <row r="703" ht="21" customHeight="1"/>
    <row r="704" ht="21" customHeight="1"/>
    <row r="705" ht="21" customHeight="1"/>
    <row r="706" ht="21" customHeight="1"/>
    <row r="707" ht="21" customHeight="1"/>
    <row r="708" ht="21" customHeight="1"/>
    <row r="709" ht="21" customHeight="1"/>
    <row r="710" ht="21" customHeight="1"/>
    <row r="711" ht="21" customHeight="1"/>
    <row r="712" ht="21" customHeight="1"/>
    <row r="713" ht="21" customHeight="1"/>
    <row r="714" ht="21" customHeight="1"/>
    <row r="715" ht="21" customHeight="1"/>
    <row r="716" ht="21" customHeight="1"/>
    <row r="717" ht="21" customHeight="1"/>
    <row r="718" ht="21" customHeight="1"/>
    <row r="719" ht="21" customHeight="1"/>
    <row r="720" ht="21" customHeight="1"/>
    <row r="721" ht="21" customHeight="1"/>
    <row r="722" ht="21" customHeight="1"/>
    <row r="723" ht="21" customHeight="1"/>
    <row r="724" ht="21" customHeight="1"/>
    <row r="725" ht="21" customHeight="1"/>
    <row r="726" ht="21" customHeight="1"/>
    <row r="727" ht="21" customHeight="1"/>
    <row r="728" ht="21" customHeight="1"/>
    <row r="729" ht="21" customHeight="1"/>
    <row r="730" ht="21" customHeight="1"/>
    <row r="731" ht="21" customHeight="1"/>
    <row r="732" ht="21" customHeight="1"/>
    <row r="733" ht="21" customHeight="1"/>
    <row r="734" ht="21" customHeight="1"/>
    <row r="735" ht="21" customHeight="1"/>
    <row r="736" ht="21" customHeight="1"/>
    <row r="737" ht="21" customHeight="1"/>
    <row r="738" ht="21" customHeight="1"/>
    <row r="739" ht="21" customHeight="1"/>
    <row r="740" ht="21" customHeight="1"/>
    <row r="741" ht="21" customHeight="1"/>
    <row r="742" ht="21" customHeight="1"/>
    <row r="743" ht="21" customHeight="1"/>
    <row r="744" ht="21" customHeight="1"/>
    <row r="745" ht="21" customHeight="1"/>
    <row r="746" ht="21" customHeight="1"/>
    <row r="747" ht="21" customHeight="1"/>
    <row r="748" ht="21" customHeight="1"/>
    <row r="749" ht="21" customHeight="1"/>
    <row r="750" ht="21" customHeight="1"/>
    <row r="751" ht="21" customHeight="1"/>
    <row r="752" ht="21" customHeight="1"/>
    <row r="753" ht="21" customHeight="1"/>
    <row r="754" ht="21" customHeight="1"/>
    <row r="755" ht="21" customHeight="1"/>
    <row r="756" ht="21" customHeight="1"/>
    <row r="757" ht="21" customHeight="1"/>
    <row r="758" ht="21" customHeight="1"/>
    <row r="759" ht="21" customHeight="1"/>
    <row r="760" ht="21" customHeight="1"/>
    <row r="761" ht="21" customHeight="1"/>
    <row r="762" ht="21" customHeight="1"/>
    <row r="763" ht="21" customHeight="1"/>
    <row r="764" ht="21" customHeight="1"/>
    <row r="765" ht="21" customHeight="1"/>
    <row r="766" ht="21" customHeight="1"/>
    <row r="767" ht="21" customHeight="1"/>
    <row r="768" ht="21" customHeight="1"/>
    <row r="769" ht="21" customHeight="1"/>
    <row r="770" ht="21" customHeight="1"/>
    <row r="771" ht="21" customHeight="1"/>
    <row r="772" ht="21" customHeight="1"/>
    <row r="773" ht="21" customHeight="1"/>
    <row r="774" ht="21" customHeight="1"/>
    <row r="775" ht="21" customHeight="1"/>
    <row r="776" ht="21" customHeight="1"/>
    <row r="777" ht="21" customHeight="1"/>
    <row r="778" ht="21" customHeight="1"/>
    <row r="779" ht="21" customHeight="1"/>
    <row r="780" ht="21" customHeight="1"/>
    <row r="781" ht="21" customHeight="1"/>
    <row r="782" ht="21" customHeight="1"/>
    <row r="783" ht="21" customHeight="1"/>
    <row r="784" ht="21" customHeight="1"/>
    <row r="785" ht="21" customHeight="1"/>
    <row r="786" ht="21" customHeight="1"/>
    <row r="787" ht="21" customHeight="1"/>
    <row r="788" ht="21" customHeight="1"/>
    <row r="789" ht="21" customHeight="1"/>
    <row r="790" ht="21" customHeight="1"/>
    <row r="791" ht="21" customHeight="1"/>
    <row r="792" ht="21" customHeight="1"/>
    <row r="793" ht="21" customHeight="1"/>
    <row r="794" ht="21" customHeight="1"/>
    <row r="795" ht="21" customHeight="1"/>
    <row r="796" ht="21" customHeight="1"/>
    <row r="797" ht="21" customHeight="1"/>
    <row r="798" ht="21" customHeight="1"/>
    <row r="799" ht="21" customHeight="1"/>
    <row r="800" ht="21" customHeight="1"/>
    <row r="801" ht="21" customHeight="1"/>
    <row r="802" ht="21" customHeight="1"/>
    <row r="803" ht="21" customHeight="1"/>
    <row r="804" ht="21" customHeight="1"/>
    <row r="805" ht="21" customHeight="1"/>
    <row r="806" ht="21" customHeight="1"/>
    <row r="807" ht="21" customHeight="1"/>
    <row r="808" ht="21" customHeight="1"/>
    <row r="809" ht="21" customHeight="1"/>
    <row r="810" ht="21" customHeight="1"/>
    <row r="811" ht="21" customHeight="1"/>
    <row r="812" ht="21" customHeight="1"/>
    <row r="813" ht="21" customHeight="1"/>
    <row r="814" ht="21" customHeight="1"/>
    <row r="815" ht="21" customHeight="1"/>
    <row r="816" ht="21" customHeight="1"/>
    <row r="817" ht="21" customHeight="1"/>
    <row r="818" ht="21" customHeight="1"/>
    <row r="819" ht="21" customHeight="1"/>
    <row r="820" ht="21" customHeight="1"/>
    <row r="821" ht="21" customHeight="1"/>
    <row r="822" ht="21" customHeight="1"/>
    <row r="823" ht="21" customHeight="1"/>
    <row r="824" ht="21" customHeight="1"/>
    <row r="825" ht="21" customHeight="1"/>
    <row r="826" ht="21" customHeight="1"/>
    <row r="827" ht="21" customHeight="1"/>
    <row r="828" ht="21" customHeight="1"/>
    <row r="829" ht="21" customHeight="1"/>
    <row r="830" ht="21" customHeight="1"/>
    <row r="831" ht="21" customHeight="1"/>
    <row r="832" ht="21" customHeight="1"/>
    <row r="833" ht="21" customHeight="1"/>
    <row r="834" ht="21" customHeight="1"/>
    <row r="835" ht="21" customHeight="1"/>
    <row r="836" ht="21" customHeight="1"/>
    <row r="837" ht="21" customHeight="1"/>
    <row r="838" ht="21" customHeight="1"/>
    <row r="839" ht="21" customHeight="1"/>
    <row r="840" ht="21" customHeight="1"/>
    <row r="841" ht="21" customHeight="1"/>
    <row r="842" ht="21" customHeight="1"/>
    <row r="843" ht="21" customHeight="1"/>
    <row r="844" ht="21" customHeight="1"/>
    <row r="845" ht="21" customHeight="1"/>
    <row r="846" ht="21" customHeight="1"/>
    <row r="847" ht="21" customHeight="1"/>
    <row r="848" ht="21" customHeight="1"/>
    <row r="849" ht="21" customHeight="1"/>
    <row r="850" ht="21" customHeight="1"/>
    <row r="851" ht="21" customHeight="1"/>
    <row r="852" ht="21" customHeight="1"/>
    <row r="853" ht="21" customHeight="1"/>
    <row r="854" ht="21" customHeight="1"/>
    <row r="855" ht="21" customHeight="1"/>
    <row r="856" ht="21" customHeight="1"/>
    <row r="857" ht="21" customHeight="1"/>
    <row r="858" ht="21" customHeight="1"/>
    <row r="859" ht="21" customHeight="1"/>
    <row r="860" ht="21" customHeight="1"/>
    <row r="861" ht="21" customHeight="1"/>
    <row r="862" ht="21" customHeight="1"/>
    <row r="863" ht="21" customHeight="1"/>
    <row r="864" ht="21" customHeight="1"/>
    <row r="865" ht="21" customHeight="1"/>
    <row r="866" ht="21" customHeight="1"/>
    <row r="867" ht="21" customHeight="1"/>
    <row r="868" ht="21" customHeight="1"/>
    <row r="869" ht="21" customHeight="1"/>
    <row r="870" ht="21" customHeight="1"/>
    <row r="871" ht="21" customHeight="1"/>
    <row r="872" ht="21" customHeight="1"/>
    <row r="873" ht="21" customHeight="1"/>
    <row r="874" ht="21" customHeight="1"/>
    <row r="875" ht="21" customHeight="1"/>
    <row r="876" ht="21" customHeight="1"/>
    <row r="877" ht="21" customHeight="1"/>
    <row r="878" ht="21" customHeight="1"/>
    <row r="879" ht="21" customHeight="1"/>
    <row r="880" ht="21" customHeight="1"/>
    <row r="881" ht="21" customHeight="1"/>
    <row r="882" ht="21" customHeight="1"/>
    <row r="883" ht="21" customHeight="1"/>
    <row r="884" ht="21" customHeight="1"/>
    <row r="885" ht="21" customHeight="1"/>
    <row r="886" ht="21" customHeight="1"/>
    <row r="887" ht="21" customHeight="1"/>
    <row r="888" ht="21" customHeight="1"/>
    <row r="889" ht="21" customHeight="1"/>
    <row r="890" ht="21" customHeight="1"/>
    <row r="891" ht="21" customHeight="1"/>
    <row r="892" ht="21" customHeight="1"/>
    <row r="893" ht="21" customHeight="1"/>
    <row r="894" ht="21" customHeight="1"/>
    <row r="895" ht="21" customHeight="1"/>
    <row r="896" ht="21" customHeight="1"/>
    <row r="897" ht="21" customHeight="1"/>
    <row r="898" ht="21" customHeight="1"/>
    <row r="899" ht="21" customHeight="1"/>
    <row r="900" ht="21" customHeight="1"/>
    <row r="901" ht="21" customHeight="1"/>
    <row r="902" ht="21" customHeight="1"/>
    <row r="903" ht="21" customHeight="1"/>
    <row r="904" ht="21" customHeight="1"/>
    <row r="905" ht="21" customHeight="1"/>
    <row r="906" ht="21" customHeight="1"/>
    <row r="907" ht="21" customHeight="1"/>
    <row r="908" ht="21" customHeight="1"/>
    <row r="909" ht="21" customHeight="1"/>
    <row r="910" ht="21" customHeight="1"/>
    <row r="911" ht="21" customHeight="1"/>
    <row r="912" ht="21" customHeight="1"/>
    <row r="913" ht="21" customHeight="1"/>
    <row r="914" ht="21" customHeight="1"/>
    <row r="915" ht="21" customHeight="1"/>
    <row r="916" ht="21" customHeight="1"/>
    <row r="917" ht="21" customHeight="1"/>
    <row r="918" ht="21" customHeight="1"/>
    <row r="919" ht="21" customHeight="1"/>
    <row r="920" ht="21" customHeight="1"/>
    <row r="921" ht="21" customHeight="1"/>
    <row r="922" ht="21" customHeight="1"/>
    <row r="923" ht="21" customHeight="1"/>
    <row r="924" ht="21" customHeight="1"/>
    <row r="925" ht="21" customHeight="1"/>
    <row r="926" ht="21" customHeight="1"/>
    <row r="927" ht="21" customHeight="1"/>
    <row r="928" ht="21" customHeight="1"/>
    <row r="929" ht="21" customHeight="1"/>
    <row r="930" ht="21" customHeight="1"/>
    <row r="931" ht="21" customHeight="1"/>
    <row r="932" ht="21" customHeight="1"/>
    <row r="933" ht="21" customHeight="1"/>
    <row r="934" ht="21" customHeight="1"/>
    <row r="935" ht="21" customHeight="1"/>
    <row r="936" ht="21" customHeight="1"/>
    <row r="937" ht="21" customHeight="1"/>
    <row r="938" ht="21" customHeight="1"/>
    <row r="939" ht="21" customHeight="1"/>
    <row r="940" ht="21" customHeight="1"/>
    <row r="941" ht="21" customHeight="1"/>
    <row r="942" ht="21" customHeight="1"/>
    <row r="943" ht="21" customHeight="1"/>
    <row r="944" ht="21" customHeight="1"/>
    <row r="945" ht="21" customHeight="1"/>
    <row r="946" ht="21" customHeight="1"/>
    <row r="947" ht="21" customHeight="1"/>
    <row r="948" ht="21" customHeight="1"/>
    <row r="949" ht="21" customHeight="1"/>
    <row r="950" ht="21" customHeight="1"/>
    <row r="951" ht="21" customHeight="1"/>
    <row r="952" ht="21" customHeight="1"/>
    <row r="953" ht="21" customHeight="1"/>
    <row r="954" ht="21" customHeight="1"/>
    <row r="955" ht="21" customHeight="1"/>
    <row r="956" ht="21" customHeight="1"/>
    <row r="957" ht="21" customHeight="1"/>
    <row r="958" ht="21" customHeight="1"/>
    <row r="959" ht="21" customHeight="1"/>
    <row r="960" ht="21" customHeight="1"/>
    <row r="961" ht="21" customHeight="1"/>
    <row r="962" ht="21" customHeight="1"/>
    <row r="963" ht="21" customHeight="1"/>
    <row r="964" ht="21" customHeight="1"/>
    <row r="965" ht="21" customHeight="1"/>
    <row r="966" ht="21" customHeight="1"/>
    <row r="967" ht="21" customHeight="1"/>
    <row r="968" ht="21" customHeight="1"/>
    <row r="969" ht="21" customHeight="1"/>
    <row r="970" ht="21" customHeight="1"/>
    <row r="971" ht="21" customHeight="1"/>
    <row r="972" ht="21" customHeight="1"/>
    <row r="973" ht="21" customHeight="1"/>
    <row r="974" ht="21" customHeight="1"/>
    <row r="975" ht="21" customHeight="1"/>
    <row r="976" ht="21" customHeight="1"/>
    <row r="977" ht="21" customHeight="1"/>
    <row r="978" ht="21" customHeight="1"/>
    <row r="979" ht="21" customHeight="1"/>
    <row r="980" ht="21" customHeight="1"/>
    <row r="981" ht="21" customHeight="1"/>
    <row r="982" ht="21" customHeight="1"/>
    <row r="983" ht="21" customHeight="1"/>
    <row r="984" ht="21" customHeight="1"/>
    <row r="985" ht="21" customHeight="1"/>
    <row r="986" ht="21" customHeight="1"/>
    <row r="987" ht="21" customHeight="1"/>
    <row r="988" ht="21" customHeight="1"/>
    <row r="989" ht="21" customHeight="1"/>
    <row r="990" ht="21" customHeight="1"/>
    <row r="991" ht="21" customHeight="1"/>
    <row r="992" ht="21" customHeight="1"/>
    <row r="993" ht="21" customHeight="1"/>
    <row r="994" ht="21" customHeight="1"/>
    <row r="995" ht="21" customHeight="1"/>
    <row r="996" ht="21" customHeight="1"/>
    <row r="997" ht="21" customHeight="1"/>
    <row r="998" ht="21" customHeight="1"/>
    <row r="999" ht="21" customHeight="1"/>
    <row r="1000" ht="21" customHeight="1"/>
  </sheetData>
  <conditionalFormatting sqref="N2:N7">
    <cfRule type="expression" dxfId="21" priority="1">
      <formula>N2="Pass"</formula>
    </cfRule>
  </conditionalFormatting>
  <conditionalFormatting sqref="N2:N7">
    <cfRule type="expression" dxfId="20" priority="2">
      <formula>N2="Fail"</formula>
    </cfRule>
  </conditionalFormatting>
  <conditionalFormatting sqref="N2:N7">
    <cfRule type="expression" dxfId="19" priority="3">
      <formula>N2="Blocked"</formula>
    </cfRule>
  </conditionalFormatting>
  <conditionalFormatting sqref="Q2:Q7">
    <cfRule type="expression" dxfId="18" priority="4">
      <formula>Q2="Yes"</formula>
    </cfRule>
  </conditionalFormatting>
  <conditionalFormatting sqref="Q2:Q7">
    <cfRule type="expression" dxfId="17" priority="5">
      <formula>Q2="Later"</formula>
    </cfRule>
  </conditionalFormatting>
  <conditionalFormatting sqref="Q2:Q7">
    <cfRule type="expression" dxfId="16" priority="6">
      <formula>Q2="No"</formula>
    </cfRule>
  </conditionalFormatting>
  <conditionalFormatting sqref="O2:O7">
    <cfRule type="expression" dxfId="15" priority="7">
      <formula>O2="High"</formula>
    </cfRule>
  </conditionalFormatting>
  <dataValidations count="4">
    <dataValidation type="list" allowBlank="1" sqref="R2:R7" xr:uid="{00000000-0002-0000-0500-000000000000}">
      <formula1>"P1,P2,P3,P4"</formula1>
    </dataValidation>
    <dataValidation type="list" allowBlank="1" sqref="O2:O7" xr:uid="{00000000-0002-0000-0500-000001000000}">
      <formula1>"High,Medium,Low"</formula1>
    </dataValidation>
    <dataValidation type="list" allowBlank="1" sqref="N2:N7" xr:uid="{00000000-0002-0000-0500-000002000000}">
      <formula1>"Not Run,Pass,Fail,Blocked,Retest"</formula1>
    </dataValidation>
    <dataValidation type="list" allowBlank="1" sqref="Q2:Q7" xr:uid="{00000000-0002-0000-0500-000003000000}">
      <formula1>"Yes,Later,No"</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2" workbookViewId="0">
      <selection activeCell="T5" sqref="T5"/>
    </sheetView>
  </sheetViews>
  <sheetFormatPr baseColWidth="10" defaultColWidth="12.6640625" defaultRowHeight="15"/>
  <cols>
    <col min="1" max="1" width="16" customWidth="1"/>
    <col min="2" max="2" width="10" customWidth="1"/>
    <col min="3" max="3" width="28" customWidth="1"/>
    <col min="4" max="4" width="10" customWidth="1"/>
    <col min="5" max="5" width="26" customWidth="1"/>
    <col min="6" max="6" width="12" customWidth="1"/>
    <col min="7" max="7" width="28" customWidth="1"/>
    <col min="8" max="8" width="42" customWidth="1"/>
    <col min="9" max="9" width="38" customWidth="1"/>
    <col min="10" max="10" width="52" customWidth="1"/>
    <col min="11" max="11" width="34" customWidth="1"/>
    <col min="12" max="13" width="44" customWidth="1"/>
    <col min="14" max="14" width="12" customWidth="1"/>
    <col min="15" max="15" width="10" customWidth="1"/>
    <col min="16" max="16" width="22" customWidth="1"/>
    <col min="17" max="17" width="20" customWidth="1"/>
    <col min="18" max="19" width="12" customWidth="1"/>
    <col min="20" max="20" width="36" customWidth="1"/>
    <col min="21" max="21" width="30" customWidth="1"/>
    <col min="22" max="22" width="42" customWidth="1"/>
    <col min="23" max="26" width="8.6640625" customWidth="1"/>
  </cols>
  <sheetData>
    <row r="1" spans="1:26" ht="42" customHeight="1">
      <c r="A1" s="2" t="s">
        <v>62</v>
      </c>
      <c r="B1" s="2" t="s">
        <v>17</v>
      </c>
      <c r="C1" s="2" t="s">
        <v>18</v>
      </c>
      <c r="D1" s="2" t="s">
        <v>63</v>
      </c>
      <c r="E1" s="2" t="s">
        <v>64</v>
      </c>
      <c r="F1" s="2" t="s">
        <v>65</v>
      </c>
      <c r="G1" s="2" t="s">
        <v>66</v>
      </c>
      <c r="H1" s="2" t="s">
        <v>67</v>
      </c>
      <c r="I1" s="2" t="s">
        <v>68</v>
      </c>
      <c r="J1" s="2" t="s">
        <v>69</v>
      </c>
      <c r="K1" s="2" t="s">
        <v>70</v>
      </c>
      <c r="L1" s="2" t="s">
        <v>71</v>
      </c>
      <c r="M1" s="2" t="s">
        <v>72</v>
      </c>
      <c r="N1" s="2" t="s">
        <v>73</v>
      </c>
      <c r="O1" s="2" t="s">
        <v>74</v>
      </c>
      <c r="P1" s="2" t="s">
        <v>75</v>
      </c>
      <c r="Q1" s="2" t="s">
        <v>76</v>
      </c>
      <c r="R1" s="2" t="s">
        <v>77</v>
      </c>
      <c r="S1" s="2" t="s">
        <v>78</v>
      </c>
      <c r="T1" s="2" t="s">
        <v>79</v>
      </c>
      <c r="U1" s="2" t="s">
        <v>80</v>
      </c>
      <c r="V1" s="2" t="s">
        <v>81</v>
      </c>
    </row>
    <row r="2" spans="1:26" ht="128" customHeight="1">
      <c r="A2" s="5" t="s">
        <v>461</v>
      </c>
      <c r="B2" s="5" t="s">
        <v>43</v>
      </c>
      <c r="C2" s="5" t="s">
        <v>44</v>
      </c>
      <c r="D2" s="5" t="s">
        <v>462</v>
      </c>
      <c r="E2" s="5" t="s">
        <v>463</v>
      </c>
      <c r="F2" s="5" t="s">
        <v>130</v>
      </c>
      <c r="G2" s="5" t="s">
        <v>464</v>
      </c>
      <c r="H2" s="5" t="s">
        <v>465</v>
      </c>
      <c r="I2" s="5" t="s">
        <v>187</v>
      </c>
      <c r="J2" s="5" t="s">
        <v>466</v>
      </c>
      <c r="K2" s="5" t="s">
        <v>189</v>
      </c>
      <c r="L2" s="5" t="s">
        <v>467</v>
      </c>
      <c r="M2" s="5"/>
      <c r="N2" s="5" t="s">
        <v>25</v>
      </c>
      <c r="O2" s="5" t="s">
        <v>114</v>
      </c>
      <c r="P2" s="5" t="s">
        <v>422</v>
      </c>
      <c r="Q2" s="5" t="s">
        <v>93</v>
      </c>
      <c r="R2" s="5" t="s">
        <v>94</v>
      </c>
      <c r="S2" s="5"/>
      <c r="T2" s="5"/>
      <c r="U2" s="5" t="s">
        <v>468</v>
      </c>
      <c r="V2" s="5" t="s">
        <v>96</v>
      </c>
      <c r="W2" s="7"/>
      <c r="X2" s="7"/>
      <c r="Y2" s="7"/>
      <c r="Z2" s="7"/>
    </row>
    <row r="3" spans="1:26" ht="128" customHeight="1">
      <c r="A3" s="5" t="s">
        <v>469</v>
      </c>
      <c r="B3" s="5" t="s">
        <v>43</v>
      </c>
      <c r="C3" s="5" t="s">
        <v>44</v>
      </c>
      <c r="D3" s="5" t="s">
        <v>470</v>
      </c>
      <c r="E3" s="5" t="s">
        <v>471</v>
      </c>
      <c r="F3" s="5" t="s">
        <v>130</v>
      </c>
      <c r="G3" s="5" t="s">
        <v>472</v>
      </c>
      <c r="H3" s="5" t="s">
        <v>473</v>
      </c>
      <c r="I3" s="5" t="s">
        <v>187</v>
      </c>
      <c r="J3" s="5" t="s">
        <v>474</v>
      </c>
      <c r="K3" s="5" t="s">
        <v>189</v>
      </c>
      <c r="L3" s="5" t="s">
        <v>475</v>
      </c>
      <c r="M3" s="5"/>
      <c r="N3" s="6" t="s">
        <v>25</v>
      </c>
      <c r="O3" s="5" t="s">
        <v>273</v>
      </c>
      <c r="P3" s="5" t="s">
        <v>197</v>
      </c>
      <c r="Q3" s="5" t="s">
        <v>476</v>
      </c>
      <c r="R3" s="5"/>
      <c r="S3" s="5"/>
      <c r="T3" s="5"/>
      <c r="U3" s="5" t="s">
        <v>477</v>
      </c>
      <c r="V3" s="5" t="s">
        <v>96</v>
      </c>
      <c r="W3" s="7"/>
      <c r="X3" s="7"/>
      <c r="Y3" s="7"/>
      <c r="Z3" s="7"/>
    </row>
    <row r="4" spans="1:26" ht="128" customHeight="1">
      <c r="A4" s="5" t="s">
        <v>478</v>
      </c>
      <c r="B4" s="5" t="s">
        <v>43</v>
      </c>
      <c r="C4" s="5" t="s">
        <v>44</v>
      </c>
      <c r="D4" s="5" t="s">
        <v>470</v>
      </c>
      <c r="E4" s="5" t="s">
        <v>471</v>
      </c>
      <c r="F4" s="5" t="s">
        <v>138</v>
      </c>
      <c r="G4" s="5" t="s">
        <v>479</v>
      </c>
      <c r="H4" s="5" t="s">
        <v>480</v>
      </c>
      <c r="I4" s="5" t="s">
        <v>481</v>
      </c>
      <c r="J4" s="5" t="s">
        <v>482</v>
      </c>
      <c r="K4" s="5" t="s">
        <v>189</v>
      </c>
      <c r="L4" s="5" t="s">
        <v>483</v>
      </c>
      <c r="M4" s="5"/>
      <c r="N4" s="6" t="s">
        <v>25</v>
      </c>
      <c r="O4" s="5" t="s">
        <v>273</v>
      </c>
      <c r="P4" s="5" t="s">
        <v>197</v>
      </c>
      <c r="Q4" s="5" t="s">
        <v>116</v>
      </c>
      <c r="R4" s="5" t="s">
        <v>117</v>
      </c>
      <c r="S4" s="5"/>
      <c r="T4" s="5"/>
      <c r="U4" s="5" t="s">
        <v>477</v>
      </c>
      <c r="V4" s="5" t="s">
        <v>96</v>
      </c>
      <c r="W4" s="7"/>
      <c r="X4" s="7"/>
      <c r="Y4" s="7"/>
      <c r="Z4" s="7"/>
    </row>
    <row r="5" spans="1:26" ht="128" customHeight="1">
      <c r="A5" s="5" t="s">
        <v>484</v>
      </c>
      <c r="B5" s="5" t="s">
        <v>43</v>
      </c>
      <c r="C5" s="5" t="s">
        <v>44</v>
      </c>
      <c r="D5" s="5" t="s">
        <v>485</v>
      </c>
      <c r="E5" s="5" t="s">
        <v>486</v>
      </c>
      <c r="F5" s="5" t="s">
        <v>130</v>
      </c>
      <c r="G5" s="5" t="s">
        <v>487</v>
      </c>
      <c r="H5" s="5" t="s">
        <v>488</v>
      </c>
      <c r="I5" s="5" t="s">
        <v>489</v>
      </c>
      <c r="J5" s="5" t="s">
        <v>490</v>
      </c>
      <c r="K5" s="5" t="s">
        <v>189</v>
      </c>
      <c r="L5" s="5" t="s">
        <v>491</v>
      </c>
      <c r="M5" s="5"/>
      <c r="N5" s="6" t="s">
        <v>25</v>
      </c>
      <c r="O5" s="5" t="s">
        <v>273</v>
      </c>
      <c r="P5" s="5" t="s">
        <v>197</v>
      </c>
      <c r="Q5" s="5" t="s">
        <v>476</v>
      </c>
      <c r="R5" s="5"/>
      <c r="S5" s="5"/>
      <c r="T5" s="5"/>
      <c r="U5" s="5" t="s">
        <v>492</v>
      </c>
      <c r="V5" s="5" t="s">
        <v>96</v>
      </c>
      <c r="W5" s="7"/>
      <c r="X5" s="7"/>
      <c r="Y5" s="7"/>
      <c r="Z5" s="7"/>
    </row>
    <row r="6" spans="1:26" ht="128" customHeight="1">
      <c r="A6" s="5" t="s">
        <v>493</v>
      </c>
      <c r="B6" s="5" t="s">
        <v>43</v>
      </c>
      <c r="C6" s="5" t="s">
        <v>44</v>
      </c>
      <c r="D6" s="5" t="s">
        <v>485</v>
      </c>
      <c r="E6" s="5" t="s">
        <v>486</v>
      </c>
      <c r="F6" s="5" t="s">
        <v>138</v>
      </c>
      <c r="G6" s="5" t="s">
        <v>494</v>
      </c>
      <c r="H6" s="5" t="s">
        <v>495</v>
      </c>
      <c r="I6" s="5" t="s">
        <v>496</v>
      </c>
      <c r="J6" s="5" t="s">
        <v>497</v>
      </c>
      <c r="K6" s="5" t="s">
        <v>189</v>
      </c>
      <c r="L6" s="5" t="s">
        <v>498</v>
      </c>
      <c r="M6" s="5"/>
      <c r="N6" s="6" t="s">
        <v>25</v>
      </c>
      <c r="O6" s="5" t="s">
        <v>273</v>
      </c>
      <c r="P6" s="5" t="s">
        <v>197</v>
      </c>
      <c r="Q6" s="5" t="s">
        <v>476</v>
      </c>
      <c r="R6" s="5"/>
      <c r="S6" s="5"/>
      <c r="T6" s="5"/>
      <c r="U6" s="5" t="s">
        <v>492</v>
      </c>
      <c r="V6" s="5" t="s">
        <v>96</v>
      </c>
      <c r="W6" s="7"/>
      <c r="X6" s="7"/>
      <c r="Y6" s="7"/>
      <c r="Z6" s="7"/>
    </row>
    <row r="21" ht="21" customHeight="1"/>
    <row r="22" ht="21" customHeight="1"/>
    <row r="23" ht="21" customHeight="1"/>
    <row r="24" ht="21" customHeight="1"/>
    <row r="25" ht="21" customHeight="1"/>
    <row r="26" ht="21" customHeight="1"/>
    <row r="27" ht="21" customHeight="1"/>
    <row r="28" ht="21" customHeight="1"/>
    <row r="29" ht="21" customHeight="1"/>
    <row r="30" ht="21" customHeight="1"/>
    <row r="31" ht="21" customHeight="1"/>
    <row r="32" ht="21" customHeight="1"/>
    <row r="33" ht="21" customHeight="1"/>
    <row r="34" ht="21" customHeight="1"/>
    <row r="35" ht="21" customHeight="1"/>
    <row r="36" ht="21" customHeight="1"/>
    <row r="37" ht="21" customHeight="1"/>
    <row r="38" ht="21" customHeight="1"/>
    <row r="39" ht="21" customHeight="1"/>
    <row r="40" ht="21" customHeight="1"/>
    <row r="41" ht="21" customHeight="1"/>
    <row r="42" ht="21" customHeight="1"/>
    <row r="43" ht="21" customHeight="1"/>
    <row r="44" ht="21" customHeight="1"/>
    <row r="45" ht="21" customHeight="1"/>
    <row r="46" ht="21" customHeight="1"/>
    <row r="47" ht="21" customHeight="1"/>
    <row r="48"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row r="350" ht="21" customHeight="1"/>
    <row r="351" ht="21" customHeight="1"/>
    <row r="352" ht="21" customHeight="1"/>
    <row r="353" ht="21" customHeight="1"/>
    <row r="354" ht="21" customHeight="1"/>
    <row r="355" ht="21" customHeight="1"/>
    <row r="356" ht="21" customHeight="1"/>
    <row r="357" ht="21" customHeight="1"/>
    <row r="358" ht="21" customHeight="1"/>
    <row r="359" ht="21" customHeight="1"/>
    <row r="360" ht="21" customHeight="1"/>
    <row r="361" ht="21" customHeight="1"/>
    <row r="362" ht="21" customHeight="1"/>
    <row r="363" ht="21" customHeight="1"/>
    <row r="364" ht="21" customHeight="1"/>
    <row r="365" ht="21" customHeight="1"/>
    <row r="366" ht="21" customHeight="1"/>
    <row r="367" ht="21" customHeight="1"/>
    <row r="368" ht="21" customHeight="1"/>
    <row r="369" ht="21" customHeight="1"/>
    <row r="370" ht="21" customHeight="1"/>
    <row r="371" ht="21" customHeight="1"/>
    <row r="372" ht="21" customHeight="1"/>
    <row r="373" ht="21" customHeight="1"/>
    <row r="374" ht="21" customHeight="1"/>
    <row r="375" ht="21" customHeight="1"/>
    <row r="376" ht="21" customHeight="1"/>
    <row r="377" ht="21" customHeight="1"/>
    <row r="378" ht="21" customHeight="1"/>
    <row r="379" ht="21" customHeight="1"/>
    <row r="380" ht="21" customHeight="1"/>
    <row r="381" ht="21" customHeight="1"/>
    <row r="382" ht="21" customHeight="1"/>
    <row r="383" ht="21" customHeight="1"/>
    <row r="384" ht="21" customHeight="1"/>
    <row r="385" ht="21" customHeight="1"/>
    <row r="386" ht="21" customHeight="1"/>
    <row r="387" ht="21" customHeight="1"/>
    <row r="388" ht="21" customHeight="1"/>
    <row r="389" ht="21" customHeight="1"/>
    <row r="390" ht="21" customHeight="1"/>
    <row r="391" ht="21" customHeight="1"/>
    <row r="392" ht="21" customHeight="1"/>
    <row r="393" ht="21" customHeight="1"/>
    <row r="394" ht="21" customHeight="1"/>
    <row r="395" ht="21" customHeight="1"/>
    <row r="396" ht="21" customHeight="1"/>
    <row r="397" ht="21" customHeight="1"/>
    <row r="398" ht="21" customHeight="1"/>
    <row r="399" ht="21" customHeight="1"/>
    <row r="400" ht="21" customHeight="1"/>
    <row r="401" ht="21" customHeight="1"/>
    <row r="402" ht="21" customHeight="1"/>
    <row r="403" ht="21" customHeight="1"/>
    <row r="404" ht="21" customHeight="1"/>
    <row r="405" ht="21" customHeight="1"/>
    <row r="406" ht="21" customHeight="1"/>
    <row r="407" ht="21" customHeight="1"/>
    <row r="408" ht="21" customHeight="1"/>
    <row r="409" ht="21" customHeight="1"/>
    <row r="410" ht="21" customHeight="1"/>
    <row r="411" ht="21" customHeight="1"/>
    <row r="412" ht="21" customHeight="1"/>
    <row r="413" ht="21" customHeight="1"/>
    <row r="414" ht="21" customHeight="1"/>
    <row r="415" ht="21" customHeight="1"/>
    <row r="416" ht="21" customHeight="1"/>
    <row r="417" ht="21" customHeight="1"/>
    <row r="418" ht="21" customHeight="1"/>
    <row r="419" ht="21" customHeight="1"/>
    <row r="420" ht="21" customHeight="1"/>
    <row r="421" ht="21" customHeight="1"/>
    <row r="422" ht="21" customHeight="1"/>
    <row r="423" ht="21" customHeight="1"/>
    <row r="424" ht="21" customHeight="1"/>
    <row r="425" ht="21" customHeight="1"/>
    <row r="426" ht="21" customHeight="1"/>
    <row r="427" ht="21" customHeight="1"/>
    <row r="428" ht="21" customHeight="1"/>
    <row r="429" ht="21" customHeight="1"/>
    <row r="430" ht="21" customHeight="1"/>
    <row r="431" ht="21" customHeight="1"/>
    <row r="432" ht="21" customHeight="1"/>
    <row r="433" ht="21" customHeight="1"/>
    <row r="434" ht="21" customHeight="1"/>
    <row r="435" ht="21" customHeight="1"/>
    <row r="436" ht="21" customHeight="1"/>
    <row r="437" ht="21" customHeight="1"/>
    <row r="438" ht="21" customHeight="1"/>
    <row r="439" ht="21" customHeight="1"/>
    <row r="440" ht="21" customHeight="1"/>
    <row r="441" ht="21" customHeight="1"/>
    <row r="442" ht="21" customHeight="1"/>
    <row r="443" ht="21" customHeight="1"/>
    <row r="444" ht="21" customHeight="1"/>
    <row r="445" ht="21" customHeight="1"/>
    <row r="446" ht="21" customHeight="1"/>
    <row r="447" ht="21" customHeight="1"/>
    <row r="448" ht="21" customHeight="1"/>
    <row r="449" ht="21" customHeight="1"/>
    <row r="450" ht="21" customHeight="1"/>
    <row r="451" ht="21" customHeight="1"/>
    <row r="452" ht="21" customHeight="1"/>
    <row r="453" ht="21" customHeight="1"/>
    <row r="454" ht="21" customHeight="1"/>
    <row r="455" ht="21" customHeight="1"/>
    <row r="456" ht="21" customHeight="1"/>
    <row r="457" ht="21" customHeight="1"/>
    <row r="458" ht="21" customHeight="1"/>
    <row r="459" ht="21" customHeight="1"/>
    <row r="460" ht="21" customHeight="1"/>
    <row r="461" ht="21" customHeight="1"/>
    <row r="462" ht="21" customHeight="1"/>
    <row r="463" ht="21" customHeight="1"/>
    <row r="464" ht="21" customHeight="1"/>
    <row r="465" ht="21" customHeight="1"/>
    <row r="466" ht="21" customHeight="1"/>
    <row r="467" ht="21" customHeight="1"/>
    <row r="468" ht="21" customHeight="1"/>
    <row r="469" ht="21" customHeight="1"/>
    <row r="470" ht="21" customHeight="1"/>
    <row r="471" ht="21" customHeight="1"/>
    <row r="472" ht="21" customHeight="1"/>
    <row r="473" ht="21" customHeight="1"/>
    <row r="474" ht="21" customHeight="1"/>
    <row r="475" ht="21" customHeight="1"/>
    <row r="476" ht="21" customHeight="1"/>
    <row r="477" ht="21" customHeight="1"/>
    <row r="478" ht="21" customHeight="1"/>
    <row r="479" ht="21" customHeight="1"/>
    <row r="480" ht="21" customHeight="1"/>
    <row r="481" ht="21" customHeight="1"/>
    <row r="482" ht="21" customHeight="1"/>
    <row r="483" ht="21" customHeight="1"/>
    <row r="484" ht="21" customHeight="1"/>
    <row r="485" ht="21" customHeight="1"/>
    <row r="486" ht="21" customHeight="1"/>
    <row r="487" ht="21" customHeight="1"/>
    <row r="488" ht="21" customHeight="1"/>
    <row r="489" ht="21" customHeight="1"/>
    <row r="490" ht="21" customHeight="1"/>
    <row r="491" ht="21" customHeight="1"/>
    <row r="492" ht="21" customHeight="1"/>
    <row r="493" ht="21" customHeight="1"/>
    <row r="494" ht="21" customHeight="1"/>
    <row r="495" ht="21" customHeight="1"/>
    <row r="496" ht="21" customHeight="1"/>
    <row r="497" ht="21" customHeight="1"/>
    <row r="498" ht="21" customHeight="1"/>
    <row r="499" ht="21" customHeight="1"/>
    <row r="500" ht="21" customHeight="1"/>
    <row r="501" ht="21" customHeight="1"/>
    <row r="502" ht="21" customHeight="1"/>
    <row r="503" ht="21" customHeight="1"/>
    <row r="504" ht="21" customHeight="1"/>
    <row r="505" ht="21" customHeight="1"/>
    <row r="506" ht="21" customHeight="1"/>
    <row r="507" ht="21" customHeight="1"/>
    <row r="508" ht="21" customHeight="1"/>
    <row r="509" ht="21" customHeight="1"/>
    <row r="510" ht="21" customHeight="1"/>
    <row r="511" ht="21" customHeight="1"/>
    <row r="512" ht="21" customHeight="1"/>
    <row r="513" ht="21" customHeight="1"/>
    <row r="514" ht="21" customHeight="1"/>
    <row r="515" ht="21" customHeight="1"/>
    <row r="516" ht="21" customHeight="1"/>
    <row r="517" ht="21" customHeight="1"/>
    <row r="518" ht="21" customHeight="1"/>
    <row r="519" ht="21" customHeight="1"/>
    <row r="520" ht="21" customHeight="1"/>
    <row r="521" ht="21" customHeight="1"/>
    <row r="522" ht="21" customHeight="1"/>
    <row r="523" ht="21" customHeight="1"/>
    <row r="524" ht="21" customHeight="1"/>
    <row r="525" ht="21" customHeight="1"/>
    <row r="526" ht="21" customHeight="1"/>
    <row r="527" ht="21" customHeight="1"/>
    <row r="528" ht="21" customHeight="1"/>
    <row r="529" ht="21" customHeight="1"/>
    <row r="530" ht="21" customHeight="1"/>
    <row r="531" ht="21" customHeight="1"/>
    <row r="532" ht="21" customHeight="1"/>
    <row r="533" ht="21" customHeight="1"/>
    <row r="534" ht="21" customHeight="1"/>
    <row r="535" ht="21" customHeight="1"/>
    <row r="536" ht="21" customHeight="1"/>
    <row r="537" ht="21" customHeight="1"/>
    <row r="538" ht="21" customHeight="1"/>
    <row r="539" ht="21" customHeight="1"/>
    <row r="540" ht="21" customHeight="1"/>
    <row r="541" ht="21" customHeight="1"/>
    <row r="542" ht="21" customHeight="1"/>
    <row r="543" ht="21" customHeight="1"/>
    <row r="544" ht="21" customHeight="1"/>
    <row r="545" ht="21" customHeight="1"/>
    <row r="546" ht="21" customHeight="1"/>
    <row r="547" ht="21" customHeight="1"/>
    <row r="548" ht="21" customHeight="1"/>
    <row r="549" ht="21" customHeight="1"/>
    <row r="550" ht="21" customHeight="1"/>
    <row r="551" ht="21" customHeight="1"/>
    <row r="552" ht="21" customHeight="1"/>
    <row r="553" ht="21" customHeight="1"/>
    <row r="554" ht="21" customHeight="1"/>
    <row r="555" ht="21" customHeight="1"/>
    <row r="556" ht="21" customHeight="1"/>
    <row r="557" ht="21" customHeight="1"/>
    <row r="558" ht="21" customHeight="1"/>
    <row r="559" ht="21" customHeight="1"/>
    <row r="560" ht="21" customHeight="1"/>
    <row r="561" ht="21" customHeight="1"/>
    <row r="562" ht="21" customHeight="1"/>
    <row r="563" ht="21" customHeight="1"/>
    <row r="564" ht="21" customHeight="1"/>
    <row r="565" ht="21" customHeight="1"/>
    <row r="566" ht="21" customHeight="1"/>
    <row r="567" ht="21" customHeight="1"/>
    <row r="568" ht="21" customHeight="1"/>
    <row r="569" ht="21" customHeight="1"/>
    <row r="570" ht="21" customHeight="1"/>
    <row r="571" ht="21" customHeight="1"/>
    <row r="572" ht="21" customHeight="1"/>
    <row r="573" ht="21" customHeight="1"/>
    <row r="574" ht="21" customHeight="1"/>
    <row r="575" ht="21" customHeight="1"/>
    <row r="576" ht="21" customHeight="1"/>
    <row r="577" ht="21" customHeight="1"/>
    <row r="578" ht="21" customHeight="1"/>
    <row r="579" ht="21" customHeight="1"/>
    <row r="580" ht="21" customHeight="1"/>
    <row r="581" ht="21" customHeight="1"/>
    <row r="582" ht="21" customHeight="1"/>
    <row r="583" ht="21" customHeight="1"/>
    <row r="584" ht="21" customHeight="1"/>
    <row r="585" ht="21" customHeight="1"/>
    <row r="586" ht="21" customHeight="1"/>
    <row r="587" ht="21" customHeight="1"/>
    <row r="588" ht="21" customHeight="1"/>
    <row r="589" ht="21" customHeight="1"/>
    <row r="590" ht="21" customHeight="1"/>
    <row r="591" ht="21" customHeight="1"/>
    <row r="592" ht="21" customHeight="1"/>
    <row r="593" ht="21" customHeight="1"/>
    <row r="594" ht="21" customHeight="1"/>
    <row r="595" ht="21" customHeight="1"/>
    <row r="596" ht="21" customHeight="1"/>
    <row r="597" ht="21" customHeight="1"/>
    <row r="598" ht="21" customHeight="1"/>
    <row r="599" ht="21" customHeight="1"/>
    <row r="600" ht="21" customHeight="1"/>
    <row r="601" ht="21" customHeight="1"/>
    <row r="602" ht="21" customHeight="1"/>
    <row r="603" ht="21" customHeight="1"/>
    <row r="604" ht="21" customHeight="1"/>
    <row r="605" ht="21" customHeight="1"/>
    <row r="606" ht="21" customHeight="1"/>
    <row r="607" ht="21" customHeight="1"/>
    <row r="608" ht="21" customHeight="1"/>
    <row r="609" ht="21" customHeight="1"/>
    <row r="610" ht="21" customHeight="1"/>
    <row r="611" ht="21" customHeight="1"/>
    <row r="612" ht="21" customHeight="1"/>
    <row r="613" ht="21" customHeight="1"/>
    <row r="614" ht="21" customHeight="1"/>
    <row r="615" ht="21" customHeight="1"/>
    <row r="616" ht="21" customHeight="1"/>
    <row r="617" ht="21" customHeight="1"/>
    <row r="618" ht="21" customHeight="1"/>
    <row r="619" ht="21" customHeight="1"/>
    <row r="620" ht="21" customHeight="1"/>
    <row r="621" ht="21" customHeight="1"/>
    <row r="622" ht="21" customHeight="1"/>
    <row r="623" ht="21" customHeight="1"/>
    <row r="624" ht="21" customHeight="1"/>
    <row r="625" ht="21" customHeight="1"/>
    <row r="626" ht="21" customHeight="1"/>
    <row r="627" ht="21" customHeight="1"/>
    <row r="628" ht="21" customHeight="1"/>
    <row r="629" ht="21" customHeight="1"/>
    <row r="630" ht="21" customHeight="1"/>
    <row r="631" ht="21" customHeight="1"/>
    <row r="632" ht="21" customHeight="1"/>
    <row r="633" ht="21" customHeight="1"/>
    <row r="634" ht="21" customHeight="1"/>
    <row r="635" ht="21" customHeight="1"/>
    <row r="636" ht="21" customHeight="1"/>
    <row r="637" ht="21" customHeight="1"/>
    <row r="638" ht="21" customHeight="1"/>
    <row r="639" ht="21" customHeight="1"/>
    <row r="640" ht="21" customHeight="1"/>
    <row r="641" ht="21" customHeight="1"/>
    <row r="642" ht="21" customHeight="1"/>
    <row r="643" ht="21" customHeight="1"/>
    <row r="644" ht="21" customHeight="1"/>
    <row r="645" ht="21" customHeight="1"/>
    <row r="646" ht="21" customHeight="1"/>
    <row r="647" ht="21" customHeight="1"/>
    <row r="648" ht="21" customHeight="1"/>
    <row r="649" ht="21" customHeight="1"/>
    <row r="650" ht="21" customHeight="1"/>
    <row r="651" ht="21" customHeight="1"/>
    <row r="652" ht="21" customHeight="1"/>
    <row r="653" ht="21" customHeight="1"/>
    <row r="654" ht="21" customHeight="1"/>
    <row r="655" ht="21" customHeight="1"/>
    <row r="656" ht="21" customHeight="1"/>
    <row r="657" ht="21" customHeight="1"/>
    <row r="658" ht="21" customHeight="1"/>
    <row r="659" ht="21" customHeight="1"/>
    <row r="660" ht="21" customHeight="1"/>
    <row r="661" ht="21" customHeight="1"/>
    <row r="662" ht="21" customHeight="1"/>
    <row r="663" ht="21" customHeight="1"/>
    <row r="664" ht="21" customHeight="1"/>
    <row r="665" ht="21" customHeight="1"/>
    <row r="666" ht="21" customHeight="1"/>
    <row r="667" ht="21" customHeight="1"/>
    <row r="668" ht="21" customHeight="1"/>
    <row r="669" ht="21" customHeight="1"/>
    <row r="670" ht="21" customHeight="1"/>
    <row r="671" ht="21" customHeight="1"/>
    <row r="672" ht="21" customHeight="1"/>
    <row r="673" ht="21" customHeight="1"/>
    <row r="674" ht="21" customHeight="1"/>
    <row r="675" ht="21" customHeight="1"/>
    <row r="676" ht="21" customHeight="1"/>
    <row r="677" ht="21" customHeight="1"/>
    <row r="678" ht="21" customHeight="1"/>
    <row r="679" ht="21" customHeight="1"/>
    <row r="680" ht="21" customHeight="1"/>
    <row r="681" ht="21" customHeight="1"/>
    <row r="682" ht="21" customHeight="1"/>
    <row r="683" ht="21" customHeight="1"/>
    <row r="684" ht="21" customHeight="1"/>
    <row r="685" ht="21" customHeight="1"/>
    <row r="686" ht="21" customHeight="1"/>
    <row r="687" ht="21" customHeight="1"/>
    <row r="688" ht="21" customHeight="1"/>
    <row r="689" ht="21" customHeight="1"/>
    <row r="690" ht="21" customHeight="1"/>
    <row r="691" ht="21" customHeight="1"/>
    <row r="692" ht="21" customHeight="1"/>
    <row r="693" ht="21" customHeight="1"/>
    <row r="694" ht="21" customHeight="1"/>
    <row r="695" ht="21" customHeight="1"/>
    <row r="696" ht="21" customHeight="1"/>
    <row r="697" ht="21" customHeight="1"/>
    <row r="698" ht="21" customHeight="1"/>
    <row r="699" ht="21" customHeight="1"/>
    <row r="700" ht="21" customHeight="1"/>
    <row r="701" ht="21" customHeight="1"/>
    <row r="702" ht="21" customHeight="1"/>
    <row r="703" ht="21" customHeight="1"/>
    <row r="704" ht="21" customHeight="1"/>
    <row r="705" ht="21" customHeight="1"/>
    <row r="706" ht="21" customHeight="1"/>
    <row r="707" ht="21" customHeight="1"/>
    <row r="708" ht="21" customHeight="1"/>
    <row r="709" ht="21" customHeight="1"/>
    <row r="710" ht="21" customHeight="1"/>
    <row r="711" ht="21" customHeight="1"/>
    <row r="712" ht="21" customHeight="1"/>
    <row r="713" ht="21" customHeight="1"/>
    <row r="714" ht="21" customHeight="1"/>
    <row r="715" ht="21" customHeight="1"/>
    <row r="716" ht="21" customHeight="1"/>
    <row r="717" ht="21" customHeight="1"/>
    <row r="718" ht="21" customHeight="1"/>
    <row r="719" ht="21" customHeight="1"/>
    <row r="720" ht="21" customHeight="1"/>
    <row r="721" ht="21" customHeight="1"/>
    <row r="722" ht="21" customHeight="1"/>
    <row r="723" ht="21" customHeight="1"/>
    <row r="724" ht="21" customHeight="1"/>
    <row r="725" ht="21" customHeight="1"/>
    <row r="726" ht="21" customHeight="1"/>
    <row r="727" ht="21" customHeight="1"/>
    <row r="728" ht="21" customHeight="1"/>
    <row r="729" ht="21" customHeight="1"/>
    <row r="730" ht="21" customHeight="1"/>
    <row r="731" ht="21" customHeight="1"/>
    <row r="732" ht="21" customHeight="1"/>
    <row r="733" ht="21" customHeight="1"/>
    <row r="734" ht="21" customHeight="1"/>
    <row r="735" ht="21" customHeight="1"/>
    <row r="736" ht="21" customHeight="1"/>
    <row r="737" ht="21" customHeight="1"/>
    <row r="738" ht="21" customHeight="1"/>
    <row r="739" ht="21" customHeight="1"/>
    <row r="740" ht="21" customHeight="1"/>
    <row r="741" ht="21" customHeight="1"/>
    <row r="742" ht="21" customHeight="1"/>
    <row r="743" ht="21" customHeight="1"/>
    <row r="744" ht="21" customHeight="1"/>
    <row r="745" ht="21" customHeight="1"/>
    <row r="746" ht="21" customHeight="1"/>
    <row r="747" ht="21" customHeight="1"/>
    <row r="748" ht="21" customHeight="1"/>
    <row r="749" ht="21" customHeight="1"/>
    <row r="750" ht="21" customHeight="1"/>
    <row r="751" ht="21" customHeight="1"/>
    <row r="752" ht="21" customHeight="1"/>
    <row r="753" ht="21" customHeight="1"/>
    <row r="754" ht="21" customHeight="1"/>
    <row r="755" ht="21" customHeight="1"/>
    <row r="756" ht="21" customHeight="1"/>
    <row r="757" ht="21" customHeight="1"/>
    <row r="758" ht="21" customHeight="1"/>
    <row r="759" ht="21" customHeight="1"/>
    <row r="760" ht="21" customHeight="1"/>
    <row r="761" ht="21" customHeight="1"/>
    <row r="762" ht="21" customHeight="1"/>
    <row r="763" ht="21" customHeight="1"/>
    <row r="764" ht="21" customHeight="1"/>
    <row r="765" ht="21" customHeight="1"/>
    <row r="766" ht="21" customHeight="1"/>
    <row r="767" ht="21" customHeight="1"/>
    <row r="768" ht="21" customHeight="1"/>
    <row r="769" ht="21" customHeight="1"/>
    <row r="770" ht="21" customHeight="1"/>
    <row r="771" ht="21" customHeight="1"/>
    <row r="772" ht="21" customHeight="1"/>
    <row r="773" ht="21" customHeight="1"/>
    <row r="774" ht="21" customHeight="1"/>
    <row r="775" ht="21" customHeight="1"/>
    <row r="776" ht="21" customHeight="1"/>
    <row r="777" ht="21" customHeight="1"/>
    <row r="778" ht="21" customHeight="1"/>
    <row r="779" ht="21" customHeight="1"/>
    <row r="780" ht="21" customHeight="1"/>
    <row r="781" ht="21" customHeight="1"/>
    <row r="782" ht="21" customHeight="1"/>
    <row r="783" ht="21" customHeight="1"/>
    <row r="784" ht="21" customHeight="1"/>
    <row r="785" ht="21" customHeight="1"/>
    <row r="786" ht="21" customHeight="1"/>
    <row r="787" ht="21" customHeight="1"/>
    <row r="788" ht="21" customHeight="1"/>
    <row r="789" ht="21" customHeight="1"/>
    <row r="790" ht="21" customHeight="1"/>
    <row r="791" ht="21" customHeight="1"/>
    <row r="792" ht="21" customHeight="1"/>
    <row r="793" ht="21" customHeight="1"/>
    <row r="794" ht="21" customHeight="1"/>
    <row r="795" ht="21" customHeight="1"/>
    <row r="796" ht="21" customHeight="1"/>
    <row r="797" ht="21" customHeight="1"/>
    <row r="798" ht="21" customHeight="1"/>
    <row r="799" ht="21" customHeight="1"/>
    <row r="800" ht="21" customHeight="1"/>
    <row r="801" ht="21" customHeight="1"/>
    <row r="802" ht="21" customHeight="1"/>
    <row r="803" ht="21" customHeight="1"/>
    <row r="804" ht="21" customHeight="1"/>
    <row r="805" ht="21" customHeight="1"/>
    <row r="806" ht="21" customHeight="1"/>
    <row r="807" ht="21" customHeight="1"/>
    <row r="808" ht="21" customHeight="1"/>
    <row r="809" ht="21" customHeight="1"/>
    <row r="810" ht="21" customHeight="1"/>
    <row r="811" ht="21" customHeight="1"/>
    <row r="812" ht="21" customHeight="1"/>
    <row r="813" ht="21" customHeight="1"/>
    <row r="814" ht="21" customHeight="1"/>
    <row r="815" ht="21" customHeight="1"/>
    <row r="816" ht="21" customHeight="1"/>
    <row r="817" ht="21" customHeight="1"/>
    <row r="818" ht="21" customHeight="1"/>
    <row r="819" ht="21" customHeight="1"/>
    <row r="820" ht="21" customHeight="1"/>
    <row r="821" ht="21" customHeight="1"/>
    <row r="822" ht="21" customHeight="1"/>
    <row r="823" ht="21" customHeight="1"/>
    <row r="824" ht="21" customHeight="1"/>
    <row r="825" ht="21" customHeight="1"/>
    <row r="826" ht="21" customHeight="1"/>
    <row r="827" ht="21" customHeight="1"/>
    <row r="828" ht="21" customHeight="1"/>
    <row r="829" ht="21" customHeight="1"/>
    <row r="830" ht="21" customHeight="1"/>
    <row r="831" ht="21" customHeight="1"/>
    <row r="832" ht="21" customHeight="1"/>
    <row r="833" ht="21" customHeight="1"/>
    <row r="834" ht="21" customHeight="1"/>
    <row r="835" ht="21" customHeight="1"/>
    <row r="836" ht="21" customHeight="1"/>
    <row r="837" ht="21" customHeight="1"/>
    <row r="838" ht="21" customHeight="1"/>
    <row r="839" ht="21" customHeight="1"/>
    <row r="840" ht="21" customHeight="1"/>
    <row r="841" ht="21" customHeight="1"/>
    <row r="842" ht="21" customHeight="1"/>
    <row r="843" ht="21" customHeight="1"/>
    <row r="844" ht="21" customHeight="1"/>
    <row r="845" ht="21" customHeight="1"/>
    <row r="846" ht="21" customHeight="1"/>
    <row r="847" ht="21" customHeight="1"/>
    <row r="848" ht="21" customHeight="1"/>
    <row r="849" ht="21" customHeight="1"/>
    <row r="850" ht="21" customHeight="1"/>
    <row r="851" ht="21" customHeight="1"/>
    <row r="852" ht="21" customHeight="1"/>
    <row r="853" ht="21" customHeight="1"/>
    <row r="854" ht="21" customHeight="1"/>
    <row r="855" ht="21" customHeight="1"/>
    <row r="856" ht="21" customHeight="1"/>
    <row r="857" ht="21" customHeight="1"/>
    <row r="858" ht="21" customHeight="1"/>
    <row r="859" ht="21" customHeight="1"/>
    <row r="860" ht="21" customHeight="1"/>
    <row r="861" ht="21" customHeight="1"/>
    <row r="862" ht="21" customHeight="1"/>
    <row r="863" ht="21" customHeight="1"/>
    <row r="864" ht="21" customHeight="1"/>
    <row r="865" ht="21" customHeight="1"/>
    <row r="866" ht="21" customHeight="1"/>
    <row r="867" ht="21" customHeight="1"/>
    <row r="868" ht="21" customHeight="1"/>
    <row r="869" ht="21" customHeight="1"/>
    <row r="870" ht="21" customHeight="1"/>
    <row r="871" ht="21" customHeight="1"/>
    <row r="872" ht="21" customHeight="1"/>
    <row r="873" ht="21" customHeight="1"/>
    <row r="874" ht="21" customHeight="1"/>
    <row r="875" ht="21" customHeight="1"/>
    <row r="876" ht="21" customHeight="1"/>
    <row r="877" ht="21" customHeight="1"/>
    <row r="878" ht="21" customHeight="1"/>
    <row r="879" ht="21" customHeight="1"/>
    <row r="880" ht="21" customHeight="1"/>
    <row r="881" ht="21" customHeight="1"/>
    <row r="882" ht="21" customHeight="1"/>
    <row r="883" ht="21" customHeight="1"/>
    <row r="884" ht="21" customHeight="1"/>
    <row r="885" ht="21" customHeight="1"/>
    <row r="886" ht="21" customHeight="1"/>
    <row r="887" ht="21" customHeight="1"/>
    <row r="888" ht="21" customHeight="1"/>
    <row r="889" ht="21" customHeight="1"/>
    <row r="890" ht="21" customHeight="1"/>
    <row r="891" ht="21" customHeight="1"/>
    <row r="892" ht="21" customHeight="1"/>
    <row r="893" ht="21" customHeight="1"/>
    <row r="894" ht="21" customHeight="1"/>
    <row r="895" ht="21" customHeight="1"/>
    <row r="896" ht="21" customHeight="1"/>
    <row r="897" ht="21" customHeight="1"/>
    <row r="898" ht="21" customHeight="1"/>
    <row r="899" ht="21" customHeight="1"/>
    <row r="900" ht="21" customHeight="1"/>
    <row r="901" ht="21" customHeight="1"/>
    <row r="902" ht="21" customHeight="1"/>
    <row r="903" ht="21" customHeight="1"/>
    <row r="904" ht="21" customHeight="1"/>
    <row r="905" ht="21" customHeight="1"/>
    <row r="906" ht="21" customHeight="1"/>
    <row r="907" ht="21" customHeight="1"/>
    <row r="908" ht="21" customHeight="1"/>
    <row r="909" ht="21" customHeight="1"/>
    <row r="910" ht="21" customHeight="1"/>
    <row r="911" ht="21" customHeight="1"/>
    <row r="912" ht="21" customHeight="1"/>
    <row r="913" ht="21" customHeight="1"/>
    <row r="914" ht="21" customHeight="1"/>
    <row r="915" ht="21" customHeight="1"/>
    <row r="916" ht="21" customHeight="1"/>
    <row r="917" ht="21" customHeight="1"/>
    <row r="918" ht="21" customHeight="1"/>
    <row r="919" ht="21" customHeight="1"/>
    <row r="920" ht="21" customHeight="1"/>
    <row r="921" ht="21" customHeight="1"/>
    <row r="922" ht="21" customHeight="1"/>
    <row r="923" ht="21" customHeight="1"/>
    <row r="924" ht="21" customHeight="1"/>
    <row r="925" ht="21" customHeight="1"/>
    <row r="926" ht="21" customHeight="1"/>
    <row r="927" ht="21" customHeight="1"/>
    <row r="928" ht="21" customHeight="1"/>
    <row r="929" ht="21" customHeight="1"/>
    <row r="930" ht="21" customHeight="1"/>
    <row r="931" ht="21" customHeight="1"/>
    <row r="932" ht="21" customHeight="1"/>
    <row r="933" ht="21" customHeight="1"/>
    <row r="934" ht="21" customHeight="1"/>
    <row r="935" ht="21" customHeight="1"/>
    <row r="936" ht="21" customHeight="1"/>
    <row r="937" ht="21" customHeight="1"/>
    <row r="938" ht="21" customHeight="1"/>
    <row r="939" ht="21" customHeight="1"/>
    <row r="940" ht="21" customHeight="1"/>
    <row r="941" ht="21" customHeight="1"/>
    <row r="942" ht="21" customHeight="1"/>
    <row r="943" ht="21" customHeight="1"/>
    <row r="944" ht="21" customHeight="1"/>
    <row r="945" ht="21" customHeight="1"/>
    <row r="946" ht="21" customHeight="1"/>
    <row r="947" ht="21" customHeight="1"/>
    <row r="948" ht="21" customHeight="1"/>
    <row r="949" ht="21" customHeight="1"/>
    <row r="950" ht="21" customHeight="1"/>
    <row r="951" ht="21" customHeight="1"/>
    <row r="952" ht="21" customHeight="1"/>
    <row r="953" ht="21" customHeight="1"/>
    <row r="954" ht="21" customHeight="1"/>
    <row r="955" ht="21" customHeight="1"/>
    <row r="956" ht="21" customHeight="1"/>
    <row r="957" ht="21" customHeight="1"/>
    <row r="958" ht="21" customHeight="1"/>
    <row r="959" ht="21" customHeight="1"/>
    <row r="960" ht="21" customHeight="1"/>
    <row r="961" ht="21" customHeight="1"/>
    <row r="962" ht="21" customHeight="1"/>
    <row r="963" ht="21" customHeight="1"/>
    <row r="964" ht="21" customHeight="1"/>
    <row r="965" ht="21" customHeight="1"/>
    <row r="966" ht="21" customHeight="1"/>
    <row r="967" ht="21" customHeight="1"/>
    <row r="968" ht="21" customHeight="1"/>
    <row r="969" ht="21" customHeight="1"/>
    <row r="970" ht="21" customHeight="1"/>
    <row r="971" ht="21" customHeight="1"/>
    <row r="972" ht="21" customHeight="1"/>
    <row r="973" ht="21" customHeight="1"/>
    <row r="974" ht="21" customHeight="1"/>
    <row r="975" ht="21" customHeight="1"/>
    <row r="976" ht="21" customHeight="1"/>
    <row r="977" ht="21" customHeight="1"/>
    <row r="978" ht="21" customHeight="1"/>
    <row r="979" ht="21" customHeight="1"/>
    <row r="980" ht="21" customHeight="1"/>
    <row r="981" ht="21" customHeight="1"/>
    <row r="982" ht="21" customHeight="1"/>
    <row r="983" ht="21" customHeight="1"/>
    <row r="984" ht="21" customHeight="1"/>
    <row r="985" ht="21" customHeight="1"/>
    <row r="986" ht="21" customHeight="1"/>
    <row r="987" ht="21" customHeight="1"/>
    <row r="988" ht="21" customHeight="1"/>
    <row r="989" ht="21" customHeight="1"/>
    <row r="990" ht="21" customHeight="1"/>
    <row r="991" ht="21" customHeight="1"/>
    <row r="992" ht="21" customHeight="1"/>
    <row r="993" ht="21" customHeight="1"/>
    <row r="994" ht="21" customHeight="1"/>
    <row r="995" ht="21" customHeight="1"/>
    <row r="996" ht="21" customHeight="1"/>
    <row r="997" ht="21" customHeight="1"/>
    <row r="998" ht="21" customHeight="1"/>
    <row r="999" ht="21" customHeight="1"/>
    <row r="1000" ht="21" customHeight="1"/>
  </sheetData>
  <conditionalFormatting sqref="N2:N6">
    <cfRule type="expression" dxfId="14" priority="1">
      <formula>N2="Pass"</formula>
    </cfRule>
  </conditionalFormatting>
  <conditionalFormatting sqref="N2:N6">
    <cfRule type="expression" dxfId="13" priority="2">
      <formula>N2="Fail"</formula>
    </cfRule>
  </conditionalFormatting>
  <conditionalFormatting sqref="N2:N6">
    <cfRule type="expression" dxfId="12" priority="3">
      <formula>N2="Blocked"</formula>
    </cfRule>
  </conditionalFormatting>
  <conditionalFormatting sqref="Q2:Q6">
    <cfRule type="expression" dxfId="11" priority="4">
      <formula>Q2="Yes"</formula>
    </cfRule>
  </conditionalFormatting>
  <conditionalFormatting sqref="Q2:Q6">
    <cfRule type="expression" dxfId="10" priority="5">
      <formula>Q2="Later"</formula>
    </cfRule>
  </conditionalFormatting>
  <conditionalFormatting sqref="Q2:Q6">
    <cfRule type="expression" dxfId="9" priority="6">
      <formula>Q2="No"</formula>
    </cfRule>
  </conditionalFormatting>
  <conditionalFormatting sqref="O2:O6">
    <cfRule type="expression" dxfId="8" priority="7">
      <formula>O2="High"</formula>
    </cfRule>
  </conditionalFormatting>
  <dataValidations count="4">
    <dataValidation type="list" allowBlank="1" sqref="R2:R6" xr:uid="{00000000-0002-0000-0600-000000000000}">
      <formula1>"P1,P2,P3,P4"</formula1>
    </dataValidation>
    <dataValidation type="list" allowBlank="1" sqref="O2:O6" xr:uid="{00000000-0002-0000-0600-000001000000}">
      <formula1>"High,Medium,Low"</formula1>
    </dataValidation>
    <dataValidation type="list" allowBlank="1" sqref="N2:N6" xr:uid="{00000000-0002-0000-0600-000002000000}">
      <formula1>"Not Run,Pass,Fail,Blocked,Retest"</formula1>
    </dataValidation>
    <dataValidation type="list" allowBlank="1" sqref="Q2:Q6" xr:uid="{00000000-0002-0000-0600-000003000000}">
      <formula1>"Yes,Later,No"</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abSelected="1" topLeftCell="K1" workbookViewId="0">
      <selection activeCell="N12" sqref="N12:N15"/>
    </sheetView>
  </sheetViews>
  <sheetFormatPr baseColWidth="10" defaultColWidth="12.6640625" defaultRowHeight="15"/>
  <cols>
    <col min="1" max="1" width="16" customWidth="1"/>
    <col min="2" max="2" width="10" customWidth="1"/>
    <col min="3" max="3" width="28" customWidth="1"/>
    <col min="4" max="4" width="10" customWidth="1"/>
    <col min="5" max="5" width="26" customWidth="1"/>
    <col min="6" max="6" width="12" customWidth="1"/>
    <col min="7" max="7" width="28" customWidth="1"/>
    <col min="8" max="8" width="42" customWidth="1"/>
    <col min="9" max="9" width="38" customWidth="1"/>
    <col min="10" max="10" width="52" customWidth="1"/>
    <col min="11" max="11" width="34" customWidth="1"/>
    <col min="12" max="13" width="44" customWidth="1"/>
    <col min="14" max="14" width="12" customWidth="1"/>
    <col min="15" max="15" width="10" customWidth="1"/>
    <col min="16" max="16" width="22" customWidth="1"/>
    <col min="17" max="17" width="20" customWidth="1"/>
    <col min="18" max="19" width="12" customWidth="1"/>
    <col min="20" max="20" width="36" customWidth="1"/>
    <col min="21" max="21" width="30" customWidth="1"/>
    <col min="22" max="22" width="42" customWidth="1"/>
    <col min="23" max="26" width="8.6640625" customWidth="1"/>
  </cols>
  <sheetData>
    <row r="1" spans="1:26" ht="42" customHeight="1">
      <c r="A1" s="2" t="s">
        <v>62</v>
      </c>
      <c r="B1" s="2" t="s">
        <v>17</v>
      </c>
      <c r="C1" s="2" t="s">
        <v>18</v>
      </c>
      <c r="D1" s="2" t="s">
        <v>63</v>
      </c>
      <c r="E1" s="2" t="s">
        <v>64</v>
      </c>
      <c r="F1" s="2" t="s">
        <v>65</v>
      </c>
      <c r="G1" s="2" t="s">
        <v>66</v>
      </c>
      <c r="H1" s="2" t="s">
        <v>67</v>
      </c>
      <c r="I1" s="2" t="s">
        <v>68</v>
      </c>
      <c r="J1" s="2" t="s">
        <v>69</v>
      </c>
      <c r="K1" s="2" t="s">
        <v>70</v>
      </c>
      <c r="L1" s="2" t="s">
        <v>71</v>
      </c>
      <c r="M1" s="2" t="s">
        <v>72</v>
      </c>
      <c r="N1" s="2" t="s">
        <v>73</v>
      </c>
      <c r="O1" s="2" t="s">
        <v>74</v>
      </c>
      <c r="P1" s="2" t="s">
        <v>75</v>
      </c>
      <c r="Q1" s="2" t="s">
        <v>76</v>
      </c>
      <c r="R1" s="2" t="s">
        <v>77</v>
      </c>
      <c r="S1" s="2" t="s">
        <v>78</v>
      </c>
      <c r="T1" s="2" t="s">
        <v>79</v>
      </c>
      <c r="U1" s="2" t="s">
        <v>80</v>
      </c>
      <c r="V1" s="2" t="s">
        <v>81</v>
      </c>
    </row>
    <row r="2" spans="1:26" ht="128" customHeight="1">
      <c r="A2" s="5" t="s">
        <v>499</v>
      </c>
      <c r="B2" s="5" t="s">
        <v>46</v>
      </c>
      <c r="C2" s="5" t="s">
        <v>47</v>
      </c>
      <c r="D2" s="5" t="s">
        <v>500</v>
      </c>
      <c r="E2" s="5" t="s">
        <v>501</v>
      </c>
      <c r="F2" s="5" t="s">
        <v>130</v>
      </c>
      <c r="G2" s="5" t="s">
        <v>502</v>
      </c>
      <c r="H2" s="5" t="s">
        <v>503</v>
      </c>
      <c r="I2" s="5" t="s">
        <v>504</v>
      </c>
      <c r="J2" s="5" t="s">
        <v>505</v>
      </c>
      <c r="K2" s="5" t="s">
        <v>506</v>
      </c>
      <c r="L2" s="5" t="s">
        <v>507</v>
      </c>
      <c r="M2" s="5"/>
      <c r="N2" s="5" t="s">
        <v>25</v>
      </c>
      <c r="O2" s="5" t="s">
        <v>91</v>
      </c>
      <c r="P2" s="5" t="s">
        <v>508</v>
      </c>
      <c r="Q2" s="5" t="s">
        <v>93</v>
      </c>
      <c r="R2" s="5" t="s">
        <v>94</v>
      </c>
      <c r="S2" s="5"/>
      <c r="T2" s="5"/>
      <c r="U2" s="5" t="s">
        <v>509</v>
      </c>
      <c r="V2" s="5" t="s">
        <v>510</v>
      </c>
      <c r="W2" s="7"/>
      <c r="X2" s="7"/>
      <c r="Y2" s="7"/>
      <c r="Z2" s="7"/>
    </row>
    <row r="3" spans="1:26" ht="128" customHeight="1">
      <c r="A3" s="5" t="s">
        <v>511</v>
      </c>
      <c r="B3" s="5" t="s">
        <v>46</v>
      </c>
      <c r="C3" s="5" t="s">
        <v>47</v>
      </c>
      <c r="D3" s="5" t="s">
        <v>500</v>
      </c>
      <c r="E3" s="5" t="s">
        <v>501</v>
      </c>
      <c r="F3" s="5" t="s">
        <v>138</v>
      </c>
      <c r="G3" s="5" t="s">
        <v>512</v>
      </c>
      <c r="H3" s="5" t="s">
        <v>513</v>
      </c>
      <c r="I3" s="5" t="s">
        <v>504</v>
      </c>
      <c r="J3" s="5" t="s">
        <v>514</v>
      </c>
      <c r="K3" s="5" t="s">
        <v>515</v>
      </c>
      <c r="L3" s="5" t="s">
        <v>516</v>
      </c>
      <c r="M3" s="5"/>
      <c r="N3" s="6" t="s">
        <v>25</v>
      </c>
      <c r="O3" s="5" t="s">
        <v>91</v>
      </c>
      <c r="P3" s="5" t="s">
        <v>508</v>
      </c>
      <c r="Q3" s="5" t="s">
        <v>93</v>
      </c>
      <c r="R3" s="5" t="s">
        <v>105</v>
      </c>
      <c r="S3" s="5"/>
      <c r="T3" s="5"/>
      <c r="U3" s="5" t="s">
        <v>517</v>
      </c>
      <c r="V3" s="5" t="s">
        <v>510</v>
      </c>
      <c r="W3" s="7"/>
      <c r="X3" s="7"/>
      <c r="Y3" s="7"/>
      <c r="Z3" s="7"/>
    </row>
    <row r="4" spans="1:26" ht="128" customHeight="1">
      <c r="A4" s="5" t="s">
        <v>518</v>
      </c>
      <c r="B4" s="5" t="s">
        <v>46</v>
      </c>
      <c r="C4" s="5" t="s">
        <v>47</v>
      </c>
      <c r="D4" s="5" t="s">
        <v>519</v>
      </c>
      <c r="E4" s="5" t="s">
        <v>520</v>
      </c>
      <c r="F4" s="5" t="s">
        <v>130</v>
      </c>
      <c r="G4" s="5" t="s">
        <v>521</v>
      </c>
      <c r="H4" s="5" t="s">
        <v>522</v>
      </c>
      <c r="I4" s="5" t="s">
        <v>504</v>
      </c>
      <c r="J4" s="5" t="s">
        <v>523</v>
      </c>
      <c r="K4" s="5" t="s">
        <v>524</v>
      </c>
      <c r="L4" s="5" t="s">
        <v>525</v>
      </c>
      <c r="M4" s="5"/>
      <c r="N4" s="6" t="s">
        <v>25</v>
      </c>
      <c r="O4" s="5" t="s">
        <v>91</v>
      </c>
      <c r="P4" s="5" t="s">
        <v>508</v>
      </c>
      <c r="Q4" s="5" t="s">
        <v>93</v>
      </c>
      <c r="R4" s="5" t="s">
        <v>94</v>
      </c>
      <c r="S4" s="5"/>
      <c r="T4" s="5"/>
      <c r="U4" s="5" t="s">
        <v>526</v>
      </c>
      <c r="V4" s="5" t="s">
        <v>510</v>
      </c>
      <c r="W4" s="7"/>
      <c r="X4" s="7"/>
      <c r="Y4" s="7"/>
      <c r="Z4" s="7"/>
    </row>
    <row r="5" spans="1:26" ht="128" customHeight="1">
      <c r="A5" s="5" t="s">
        <v>527</v>
      </c>
      <c r="B5" s="5" t="s">
        <v>46</v>
      </c>
      <c r="C5" s="5" t="s">
        <v>47</v>
      </c>
      <c r="D5" s="5" t="s">
        <v>519</v>
      </c>
      <c r="E5" s="5" t="s">
        <v>520</v>
      </c>
      <c r="F5" s="5" t="s">
        <v>138</v>
      </c>
      <c r="G5" s="5" t="s">
        <v>528</v>
      </c>
      <c r="H5" s="5" t="s">
        <v>529</v>
      </c>
      <c r="I5" s="5" t="s">
        <v>504</v>
      </c>
      <c r="J5" s="5" t="s">
        <v>530</v>
      </c>
      <c r="K5" s="5" t="s">
        <v>531</v>
      </c>
      <c r="L5" s="5" t="s">
        <v>516</v>
      </c>
      <c r="M5" s="5"/>
      <c r="N5" s="6" t="s">
        <v>25</v>
      </c>
      <c r="O5" s="5" t="s">
        <v>91</v>
      </c>
      <c r="P5" s="5" t="s">
        <v>508</v>
      </c>
      <c r="Q5" s="5" t="s">
        <v>93</v>
      </c>
      <c r="R5" s="5" t="s">
        <v>105</v>
      </c>
      <c r="S5" s="5"/>
      <c r="T5" s="5"/>
      <c r="U5" s="5" t="s">
        <v>532</v>
      </c>
      <c r="V5" s="5" t="s">
        <v>510</v>
      </c>
      <c r="W5" s="7"/>
      <c r="X5" s="7"/>
      <c r="Y5" s="7"/>
      <c r="Z5" s="7"/>
    </row>
    <row r="6" spans="1:26" ht="128" customHeight="1">
      <c r="A6" s="5" t="s">
        <v>533</v>
      </c>
      <c r="B6" s="5" t="s">
        <v>46</v>
      </c>
      <c r="C6" s="5" t="s">
        <v>47</v>
      </c>
      <c r="D6" s="5" t="s">
        <v>534</v>
      </c>
      <c r="E6" s="5" t="s">
        <v>535</v>
      </c>
      <c r="F6" s="5" t="s">
        <v>130</v>
      </c>
      <c r="G6" s="5" t="s">
        <v>536</v>
      </c>
      <c r="H6" s="5" t="s">
        <v>537</v>
      </c>
      <c r="I6" s="5" t="s">
        <v>504</v>
      </c>
      <c r="J6" s="5" t="s">
        <v>538</v>
      </c>
      <c r="K6" s="5" t="s">
        <v>639</v>
      </c>
      <c r="L6" s="5" t="s">
        <v>539</v>
      </c>
      <c r="M6" s="5"/>
      <c r="N6" s="6" t="s">
        <v>25</v>
      </c>
      <c r="O6" s="5" t="s">
        <v>91</v>
      </c>
      <c r="P6" s="5" t="s">
        <v>508</v>
      </c>
      <c r="Q6" s="5" t="s">
        <v>93</v>
      </c>
      <c r="R6" s="5" t="s">
        <v>94</v>
      </c>
      <c r="S6" s="5"/>
      <c r="T6" s="5"/>
      <c r="U6" s="5" t="s">
        <v>540</v>
      </c>
      <c r="V6" s="5" t="s">
        <v>510</v>
      </c>
      <c r="W6" s="7"/>
      <c r="X6" s="7"/>
      <c r="Y6" s="7"/>
      <c r="Z6" s="7"/>
    </row>
    <row r="7" spans="1:26" ht="128" customHeight="1">
      <c r="A7" s="5" t="s">
        <v>541</v>
      </c>
      <c r="B7" s="5" t="s">
        <v>46</v>
      </c>
      <c r="C7" s="5" t="s">
        <v>47</v>
      </c>
      <c r="D7" s="5" t="s">
        <v>534</v>
      </c>
      <c r="E7" s="5" t="s">
        <v>535</v>
      </c>
      <c r="F7" s="5" t="s">
        <v>138</v>
      </c>
      <c r="G7" s="5" t="s">
        <v>542</v>
      </c>
      <c r="H7" s="5" t="s">
        <v>543</v>
      </c>
      <c r="I7" s="5" t="s">
        <v>504</v>
      </c>
      <c r="J7" s="5" t="s">
        <v>544</v>
      </c>
      <c r="K7" s="5" t="s">
        <v>545</v>
      </c>
      <c r="L7" s="5" t="s">
        <v>546</v>
      </c>
      <c r="M7" s="5"/>
      <c r="N7" s="6" t="s">
        <v>25</v>
      </c>
      <c r="O7" s="5" t="s">
        <v>91</v>
      </c>
      <c r="P7" s="5" t="s">
        <v>508</v>
      </c>
      <c r="Q7" s="5" t="s">
        <v>93</v>
      </c>
      <c r="R7" s="5" t="s">
        <v>105</v>
      </c>
      <c r="S7" s="5"/>
      <c r="T7" s="5"/>
      <c r="U7" s="5" t="s">
        <v>547</v>
      </c>
      <c r="V7" s="5" t="s">
        <v>510</v>
      </c>
      <c r="W7" s="7"/>
      <c r="X7" s="7"/>
      <c r="Y7" s="7"/>
      <c r="Z7" s="7"/>
    </row>
    <row r="8" spans="1:26" ht="128" customHeight="1">
      <c r="A8" s="5" t="s">
        <v>548</v>
      </c>
      <c r="B8" s="5" t="s">
        <v>46</v>
      </c>
      <c r="C8" s="5" t="s">
        <v>47</v>
      </c>
      <c r="D8" s="5" t="s">
        <v>549</v>
      </c>
      <c r="E8" s="5" t="s">
        <v>550</v>
      </c>
      <c r="F8" s="5" t="s">
        <v>130</v>
      </c>
      <c r="G8" s="5" t="s">
        <v>551</v>
      </c>
      <c r="H8" s="5" t="s">
        <v>552</v>
      </c>
      <c r="I8" s="5" t="s">
        <v>553</v>
      </c>
      <c r="J8" s="5" t="s">
        <v>554</v>
      </c>
      <c r="K8" s="5" t="s">
        <v>640</v>
      </c>
      <c r="L8" s="5" t="s">
        <v>555</v>
      </c>
      <c r="M8" s="5"/>
      <c r="N8" s="6" t="s">
        <v>25</v>
      </c>
      <c r="O8" s="5" t="s">
        <v>91</v>
      </c>
      <c r="P8" s="5" t="s">
        <v>508</v>
      </c>
      <c r="Q8" s="5" t="s">
        <v>93</v>
      </c>
      <c r="R8" s="5" t="s">
        <v>94</v>
      </c>
      <c r="S8" s="5"/>
      <c r="T8" s="5"/>
      <c r="U8" s="5" t="s">
        <v>556</v>
      </c>
      <c r="V8" s="5" t="s">
        <v>510</v>
      </c>
      <c r="W8" s="7"/>
      <c r="X8" s="7"/>
      <c r="Y8" s="7"/>
      <c r="Z8" s="7"/>
    </row>
    <row r="9" spans="1:26" ht="128" customHeight="1">
      <c r="A9" s="5" t="s">
        <v>557</v>
      </c>
      <c r="B9" s="5" t="s">
        <v>46</v>
      </c>
      <c r="C9" s="5" t="s">
        <v>47</v>
      </c>
      <c r="D9" s="5" t="s">
        <v>549</v>
      </c>
      <c r="E9" s="5" t="s">
        <v>550</v>
      </c>
      <c r="F9" s="5" t="s">
        <v>98</v>
      </c>
      <c r="G9" s="5" t="s">
        <v>558</v>
      </c>
      <c r="H9" s="5" t="s">
        <v>559</v>
      </c>
      <c r="I9" s="5" t="s">
        <v>504</v>
      </c>
      <c r="J9" s="5" t="s">
        <v>560</v>
      </c>
      <c r="K9" s="5" t="s">
        <v>641</v>
      </c>
      <c r="L9" s="5" t="s">
        <v>561</v>
      </c>
      <c r="M9" s="5"/>
      <c r="N9" s="6" t="s">
        <v>25</v>
      </c>
      <c r="O9" s="5" t="s">
        <v>91</v>
      </c>
      <c r="P9" s="5" t="s">
        <v>508</v>
      </c>
      <c r="Q9" s="5" t="s">
        <v>93</v>
      </c>
      <c r="R9" s="5" t="s">
        <v>105</v>
      </c>
      <c r="S9" s="5"/>
      <c r="T9" s="5"/>
      <c r="U9" s="5" t="s">
        <v>562</v>
      </c>
      <c r="V9" s="5" t="s">
        <v>510</v>
      </c>
      <c r="W9" s="7"/>
      <c r="X9" s="7"/>
      <c r="Y9" s="7"/>
      <c r="Z9" s="7"/>
    </row>
    <row r="10" spans="1:26" ht="128" customHeight="1">
      <c r="A10" s="5" t="s">
        <v>563</v>
      </c>
      <c r="B10" s="5" t="s">
        <v>46</v>
      </c>
      <c r="C10" s="5" t="s">
        <v>47</v>
      </c>
      <c r="D10" s="5" t="s">
        <v>549</v>
      </c>
      <c r="E10" s="5" t="s">
        <v>550</v>
      </c>
      <c r="F10" s="5" t="s">
        <v>564</v>
      </c>
      <c r="G10" s="5" t="s">
        <v>565</v>
      </c>
      <c r="H10" s="5" t="s">
        <v>566</v>
      </c>
      <c r="I10" s="5" t="s">
        <v>504</v>
      </c>
      <c r="J10" s="5" t="s">
        <v>567</v>
      </c>
      <c r="K10" s="5" t="s">
        <v>568</v>
      </c>
      <c r="L10" s="5" t="s">
        <v>516</v>
      </c>
      <c r="M10" s="5"/>
      <c r="N10" s="6" t="s">
        <v>25</v>
      </c>
      <c r="O10" s="5" t="s">
        <v>91</v>
      </c>
      <c r="P10" s="5" t="s">
        <v>508</v>
      </c>
      <c r="Q10" s="5" t="s">
        <v>93</v>
      </c>
      <c r="R10" s="5" t="s">
        <v>105</v>
      </c>
      <c r="S10" s="5"/>
      <c r="T10" s="5"/>
      <c r="U10" s="5" t="s">
        <v>569</v>
      </c>
      <c r="V10" s="5" t="s">
        <v>510</v>
      </c>
      <c r="W10" s="7"/>
      <c r="X10" s="7"/>
      <c r="Y10" s="7"/>
      <c r="Z10" s="7"/>
    </row>
    <row r="11" spans="1:26" ht="128" customHeight="1">
      <c r="A11" s="5" t="s">
        <v>570</v>
      </c>
      <c r="B11" s="5" t="s">
        <v>46</v>
      </c>
      <c r="C11" s="5" t="s">
        <v>47</v>
      </c>
      <c r="D11" s="5" t="s">
        <v>549</v>
      </c>
      <c r="E11" s="5" t="s">
        <v>550</v>
      </c>
      <c r="F11" s="5" t="s">
        <v>138</v>
      </c>
      <c r="G11" s="5" t="s">
        <v>571</v>
      </c>
      <c r="H11" s="5" t="s">
        <v>572</v>
      </c>
      <c r="I11" s="5" t="s">
        <v>504</v>
      </c>
      <c r="J11" s="5" t="s">
        <v>573</v>
      </c>
      <c r="K11" s="5" t="s">
        <v>642</v>
      </c>
      <c r="L11" s="5" t="s">
        <v>574</v>
      </c>
      <c r="M11" s="5"/>
      <c r="N11" s="6" t="s">
        <v>25</v>
      </c>
      <c r="O11" s="5" t="s">
        <v>91</v>
      </c>
      <c r="P11" s="5" t="s">
        <v>508</v>
      </c>
      <c r="Q11" s="5" t="s">
        <v>93</v>
      </c>
      <c r="R11" s="5" t="s">
        <v>105</v>
      </c>
      <c r="S11" s="5"/>
      <c r="T11" s="5"/>
      <c r="U11" s="5" t="s">
        <v>575</v>
      </c>
      <c r="V11" s="5" t="s">
        <v>510</v>
      </c>
      <c r="W11" s="7"/>
      <c r="X11" s="7"/>
      <c r="Y11" s="7"/>
      <c r="Z11" s="7"/>
    </row>
    <row r="12" spans="1:26" ht="128" customHeight="1">
      <c r="A12" s="5" t="s">
        <v>576</v>
      </c>
      <c r="B12" s="5" t="s">
        <v>46</v>
      </c>
      <c r="C12" s="5" t="s">
        <v>47</v>
      </c>
      <c r="D12" s="5" t="s">
        <v>577</v>
      </c>
      <c r="E12" s="5" t="s">
        <v>578</v>
      </c>
      <c r="F12" s="5" t="s">
        <v>130</v>
      </c>
      <c r="G12" s="5" t="s">
        <v>579</v>
      </c>
      <c r="H12" s="5" t="s">
        <v>580</v>
      </c>
      <c r="I12" s="5" t="s">
        <v>581</v>
      </c>
      <c r="J12" s="5" t="s">
        <v>582</v>
      </c>
      <c r="K12" s="5" t="s">
        <v>643</v>
      </c>
      <c r="L12" s="5" t="s">
        <v>583</v>
      </c>
      <c r="M12" s="5"/>
      <c r="N12" s="6" t="s">
        <v>25</v>
      </c>
      <c r="O12" s="5" t="s">
        <v>91</v>
      </c>
      <c r="P12" s="5" t="s">
        <v>508</v>
      </c>
      <c r="Q12" s="5" t="s">
        <v>93</v>
      </c>
      <c r="R12" s="5" t="s">
        <v>94</v>
      </c>
      <c r="S12" s="5"/>
      <c r="T12" s="5"/>
      <c r="U12" s="5" t="s">
        <v>584</v>
      </c>
      <c r="V12" s="5" t="s">
        <v>510</v>
      </c>
      <c r="W12" s="7"/>
      <c r="X12" s="7"/>
      <c r="Y12" s="7"/>
      <c r="Z12" s="7"/>
    </row>
    <row r="13" spans="1:26" ht="128" customHeight="1">
      <c r="A13" s="5" t="s">
        <v>585</v>
      </c>
      <c r="B13" s="5" t="s">
        <v>46</v>
      </c>
      <c r="C13" s="5" t="s">
        <v>47</v>
      </c>
      <c r="D13" s="5" t="s">
        <v>577</v>
      </c>
      <c r="E13" s="5" t="s">
        <v>578</v>
      </c>
      <c r="F13" s="5" t="s">
        <v>138</v>
      </c>
      <c r="G13" s="5" t="s">
        <v>586</v>
      </c>
      <c r="H13" s="5" t="s">
        <v>587</v>
      </c>
      <c r="I13" s="5" t="s">
        <v>588</v>
      </c>
      <c r="J13" s="5" t="s">
        <v>589</v>
      </c>
      <c r="K13" s="5" t="s">
        <v>644</v>
      </c>
      <c r="L13" s="5" t="s">
        <v>590</v>
      </c>
      <c r="M13" s="5"/>
      <c r="N13" s="6" t="s">
        <v>25</v>
      </c>
      <c r="O13" s="5" t="s">
        <v>91</v>
      </c>
      <c r="P13" s="5" t="s">
        <v>508</v>
      </c>
      <c r="Q13" s="5" t="s">
        <v>93</v>
      </c>
      <c r="R13" s="5" t="s">
        <v>94</v>
      </c>
      <c r="S13" s="5"/>
      <c r="T13" s="5"/>
      <c r="U13" s="5" t="s">
        <v>591</v>
      </c>
      <c r="V13" s="5" t="s">
        <v>510</v>
      </c>
      <c r="W13" s="7"/>
      <c r="X13" s="7"/>
      <c r="Y13" s="7"/>
      <c r="Z13" s="7"/>
    </row>
    <row r="14" spans="1:26" ht="128" customHeight="1">
      <c r="A14" s="5" t="s">
        <v>592</v>
      </c>
      <c r="B14" s="5" t="s">
        <v>46</v>
      </c>
      <c r="C14" s="5" t="s">
        <v>47</v>
      </c>
      <c r="D14" s="5" t="s">
        <v>577</v>
      </c>
      <c r="E14" s="5" t="s">
        <v>578</v>
      </c>
      <c r="F14" s="5" t="s">
        <v>98</v>
      </c>
      <c r="G14" s="5" t="s">
        <v>593</v>
      </c>
      <c r="H14" s="5" t="s">
        <v>594</v>
      </c>
      <c r="I14" s="5" t="s">
        <v>588</v>
      </c>
      <c r="J14" s="5" t="s">
        <v>595</v>
      </c>
      <c r="K14" s="5" t="s">
        <v>645</v>
      </c>
      <c r="L14" s="5" t="s">
        <v>596</v>
      </c>
      <c r="M14" s="5"/>
      <c r="N14" s="6" t="s">
        <v>25</v>
      </c>
      <c r="O14" s="5" t="s">
        <v>91</v>
      </c>
      <c r="P14" s="5" t="s">
        <v>508</v>
      </c>
      <c r="Q14" s="5" t="s">
        <v>93</v>
      </c>
      <c r="R14" s="5" t="s">
        <v>94</v>
      </c>
      <c r="S14" s="5"/>
      <c r="T14" s="5"/>
      <c r="U14" s="5" t="s">
        <v>597</v>
      </c>
      <c r="V14" s="5" t="s">
        <v>510</v>
      </c>
      <c r="W14" s="7"/>
      <c r="X14" s="7"/>
      <c r="Y14" s="7"/>
      <c r="Z14" s="7"/>
    </row>
    <row r="15" spans="1:26" ht="128" customHeight="1">
      <c r="A15" s="5" t="s">
        <v>598</v>
      </c>
      <c r="B15" s="5" t="s">
        <v>46</v>
      </c>
      <c r="C15" s="5" t="s">
        <v>47</v>
      </c>
      <c r="D15" s="5" t="s">
        <v>577</v>
      </c>
      <c r="E15" s="5" t="s">
        <v>578</v>
      </c>
      <c r="F15" s="5" t="s">
        <v>564</v>
      </c>
      <c r="G15" s="5" t="s">
        <v>599</v>
      </c>
      <c r="H15" s="5" t="s">
        <v>600</v>
      </c>
      <c r="I15" s="5" t="s">
        <v>588</v>
      </c>
      <c r="J15" s="5" t="s">
        <v>601</v>
      </c>
      <c r="K15" s="5" t="s">
        <v>646</v>
      </c>
      <c r="L15" s="5" t="s">
        <v>602</v>
      </c>
      <c r="M15" s="5"/>
      <c r="N15" s="6" t="s">
        <v>25</v>
      </c>
      <c r="O15" s="5" t="s">
        <v>91</v>
      </c>
      <c r="P15" s="5" t="s">
        <v>508</v>
      </c>
      <c r="Q15" s="5" t="s">
        <v>93</v>
      </c>
      <c r="R15" s="5" t="s">
        <v>94</v>
      </c>
      <c r="S15" s="5"/>
      <c r="T15" s="5"/>
      <c r="U15" s="5" t="s">
        <v>603</v>
      </c>
      <c r="V15" s="5" t="s">
        <v>510</v>
      </c>
      <c r="W15" s="7"/>
      <c r="X15" s="7"/>
      <c r="Y15" s="7"/>
      <c r="Z15" s="7"/>
    </row>
    <row r="21" ht="21" customHeight="1"/>
    <row r="22" ht="21" customHeight="1"/>
    <row r="23" ht="21" customHeight="1"/>
    <row r="24" ht="21" customHeight="1"/>
    <row r="25" ht="21" customHeight="1"/>
    <row r="26" ht="21" customHeight="1"/>
    <row r="27" ht="21" customHeight="1"/>
    <row r="28" ht="21" customHeight="1"/>
    <row r="29" ht="21" customHeight="1"/>
    <row r="30" ht="21" customHeight="1"/>
    <row r="31" ht="21" customHeight="1"/>
    <row r="32" ht="21" customHeight="1"/>
    <row r="33" ht="21" customHeight="1"/>
    <row r="34" ht="21" customHeight="1"/>
    <row r="35" ht="21" customHeight="1"/>
    <row r="36" ht="21" customHeight="1"/>
    <row r="37" ht="21" customHeight="1"/>
    <row r="38" ht="21" customHeight="1"/>
    <row r="39" ht="21" customHeight="1"/>
    <row r="40" ht="21" customHeight="1"/>
    <row r="41" ht="21" customHeight="1"/>
    <row r="42" ht="21" customHeight="1"/>
    <row r="43" ht="21" customHeight="1"/>
    <row r="44" ht="21" customHeight="1"/>
    <row r="45" ht="21" customHeight="1"/>
    <row r="46" ht="21" customHeight="1"/>
    <row r="47" ht="21" customHeight="1"/>
    <row r="48"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row r="350" ht="21" customHeight="1"/>
    <row r="351" ht="21" customHeight="1"/>
    <row r="352" ht="21" customHeight="1"/>
    <row r="353" ht="21" customHeight="1"/>
    <row r="354" ht="21" customHeight="1"/>
    <row r="355" ht="21" customHeight="1"/>
    <row r="356" ht="21" customHeight="1"/>
    <row r="357" ht="21" customHeight="1"/>
    <row r="358" ht="21" customHeight="1"/>
    <row r="359" ht="21" customHeight="1"/>
    <row r="360" ht="21" customHeight="1"/>
    <row r="361" ht="21" customHeight="1"/>
    <row r="362" ht="21" customHeight="1"/>
    <row r="363" ht="21" customHeight="1"/>
    <row r="364" ht="21" customHeight="1"/>
    <row r="365" ht="21" customHeight="1"/>
    <row r="366" ht="21" customHeight="1"/>
    <row r="367" ht="21" customHeight="1"/>
    <row r="368" ht="21" customHeight="1"/>
    <row r="369" ht="21" customHeight="1"/>
    <row r="370" ht="21" customHeight="1"/>
    <row r="371" ht="21" customHeight="1"/>
    <row r="372" ht="21" customHeight="1"/>
    <row r="373" ht="21" customHeight="1"/>
    <row r="374" ht="21" customHeight="1"/>
    <row r="375" ht="21" customHeight="1"/>
    <row r="376" ht="21" customHeight="1"/>
    <row r="377" ht="21" customHeight="1"/>
    <row r="378" ht="21" customHeight="1"/>
    <row r="379" ht="21" customHeight="1"/>
    <row r="380" ht="21" customHeight="1"/>
    <row r="381" ht="21" customHeight="1"/>
    <row r="382" ht="21" customHeight="1"/>
    <row r="383" ht="21" customHeight="1"/>
    <row r="384" ht="21" customHeight="1"/>
    <row r="385" ht="21" customHeight="1"/>
    <row r="386" ht="21" customHeight="1"/>
    <row r="387" ht="21" customHeight="1"/>
    <row r="388" ht="21" customHeight="1"/>
    <row r="389" ht="21" customHeight="1"/>
    <row r="390" ht="21" customHeight="1"/>
    <row r="391" ht="21" customHeight="1"/>
    <row r="392" ht="21" customHeight="1"/>
    <row r="393" ht="21" customHeight="1"/>
    <row r="394" ht="21" customHeight="1"/>
    <row r="395" ht="21" customHeight="1"/>
    <row r="396" ht="21" customHeight="1"/>
    <row r="397" ht="21" customHeight="1"/>
    <row r="398" ht="21" customHeight="1"/>
    <row r="399" ht="21" customHeight="1"/>
    <row r="400" ht="21" customHeight="1"/>
    <row r="401" ht="21" customHeight="1"/>
    <row r="402" ht="21" customHeight="1"/>
    <row r="403" ht="21" customHeight="1"/>
    <row r="404" ht="21" customHeight="1"/>
    <row r="405" ht="21" customHeight="1"/>
    <row r="406" ht="21" customHeight="1"/>
    <row r="407" ht="21" customHeight="1"/>
    <row r="408" ht="21" customHeight="1"/>
    <row r="409" ht="21" customHeight="1"/>
    <row r="410" ht="21" customHeight="1"/>
    <row r="411" ht="21" customHeight="1"/>
    <row r="412" ht="21" customHeight="1"/>
    <row r="413" ht="21" customHeight="1"/>
    <row r="414" ht="21" customHeight="1"/>
    <row r="415" ht="21" customHeight="1"/>
    <row r="416" ht="21" customHeight="1"/>
    <row r="417" ht="21" customHeight="1"/>
    <row r="418" ht="21" customHeight="1"/>
    <row r="419" ht="21" customHeight="1"/>
    <row r="420" ht="21" customHeight="1"/>
    <row r="421" ht="21" customHeight="1"/>
    <row r="422" ht="21" customHeight="1"/>
    <row r="423" ht="21" customHeight="1"/>
    <row r="424" ht="21" customHeight="1"/>
    <row r="425" ht="21" customHeight="1"/>
    <row r="426" ht="21" customHeight="1"/>
    <row r="427" ht="21" customHeight="1"/>
    <row r="428" ht="21" customHeight="1"/>
    <row r="429" ht="21" customHeight="1"/>
    <row r="430" ht="21" customHeight="1"/>
    <row r="431" ht="21" customHeight="1"/>
    <row r="432" ht="21" customHeight="1"/>
    <row r="433" ht="21" customHeight="1"/>
    <row r="434" ht="21" customHeight="1"/>
    <row r="435" ht="21" customHeight="1"/>
    <row r="436" ht="21" customHeight="1"/>
    <row r="437" ht="21" customHeight="1"/>
    <row r="438" ht="21" customHeight="1"/>
    <row r="439" ht="21" customHeight="1"/>
    <row r="440" ht="21" customHeight="1"/>
    <row r="441" ht="21" customHeight="1"/>
    <row r="442" ht="21" customHeight="1"/>
    <row r="443" ht="21" customHeight="1"/>
    <row r="444" ht="21" customHeight="1"/>
    <row r="445" ht="21" customHeight="1"/>
    <row r="446" ht="21" customHeight="1"/>
    <row r="447" ht="21" customHeight="1"/>
    <row r="448" ht="21" customHeight="1"/>
    <row r="449" ht="21" customHeight="1"/>
    <row r="450" ht="21" customHeight="1"/>
    <row r="451" ht="21" customHeight="1"/>
    <row r="452" ht="21" customHeight="1"/>
    <row r="453" ht="21" customHeight="1"/>
    <row r="454" ht="21" customHeight="1"/>
    <row r="455" ht="21" customHeight="1"/>
    <row r="456" ht="21" customHeight="1"/>
    <row r="457" ht="21" customHeight="1"/>
    <row r="458" ht="21" customHeight="1"/>
    <row r="459" ht="21" customHeight="1"/>
    <row r="460" ht="21" customHeight="1"/>
    <row r="461" ht="21" customHeight="1"/>
    <row r="462" ht="21" customHeight="1"/>
    <row r="463" ht="21" customHeight="1"/>
    <row r="464" ht="21" customHeight="1"/>
    <row r="465" ht="21" customHeight="1"/>
    <row r="466" ht="21" customHeight="1"/>
    <row r="467" ht="21" customHeight="1"/>
    <row r="468" ht="21" customHeight="1"/>
    <row r="469" ht="21" customHeight="1"/>
    <row r="470" ht="21" customHeight="1"/>
    <row r="471" ht="21" customHeight="1"/>
    <row r="472" ht="21" customHeight="1"/>
    <row r="473" ht="21" customHeight="1"/>
    <row r="474" ht="21" customHeight="1"/>
    <row r="475" ht="21" customHeight="1"/>
    <row r="476" ht="21" customHeight="1"/>
    <row r="477" ht="21" customHeight="1"/>
    <row r="478" ht="21" customHeight="1"/>
    <row r="479" ht="21" customHeight="1"/>
    <row r="480" ht="21" customHeight="1"/>
    <row r="481" ht="21" customHeight="1"/>
    <row r="482" ht="21" customHeight="1"/>
    <row r="483" ht="21" customHeight="1"/>
    <row r="484" ht="21" customHeight="1"/>
    <row r="485" ht="21" customHeight="1"/>
    <row r="486" ht="21" customHeight="1"/>
    <row r="487" ht="21" customHeight="1"/>
    <row r="488" ht="21" customHeight="1"/>
    <row r="489" ht="21" customHeight="1"/>
    <row r="490" ht="21" customHeight="1"/>
    <row r="491" ht="21" customHeight="1"/>
    <row r="492" ht="21" customHeight="1"/>
    <row r="493" ht="21" customHeight="1"/>
    <row r="494" ht="21" customHeight="1"/>
    <row r="495" ht="21" customHeight="1"/>
    <row r="496" ht="21" customHeight="1"/>
    <row r="497" ht="21" customHeight="1"/>
    <row r="498" ht="21" customHeight="1"/>
    <row r="499" ht="21" customHeight="1"/>
    <row r="500" ht="21" customHeight="1"/>
    <row r="501" ht="21" customHeight="1"/>
    <row r="502" ht="21" customHeight="1"/>
    <row r="503" ht="21" customHeight="1"/>
    <row r="504" ht="21" customHeight="1"/>
    <row r="505" ht="21" customHeight="1"/>
    <row r="506" ht="21" customHeight="1"/>
    <row r="507" ht="21" customHeight="1"/>
    <row r="508" ht="21" customHeight="1"/>
    <row r="509" ht="21" customHeight="1"/>
    <row r="510" ht="21" customHeight="1"/>
    <row r="511" ht="21" customHeight="1"/>
    <row r="512" ht="21" customHeight="1"/>
    <row r="513" ht="21" customHeight="1"/>
    <row r="514" ht="21" customHeight="1"/>
    <row r="515" ht="21" customHeight="1"/>
    <row r="516" ht="21" customHeight="1"/>
    <row r="517" ht="21" customHeight="1"/>
    <row r="518" ht="21" customHeight="1"/>
    <row r="519" ht="21" customHeight="1"/>
    <row r="520" ht="21" customHeight="1"/>
    <row r="521" ht="21" customHeight="1"/>
    <row r="522" ht="21" customHeight="1"/>
    <row r="523" ht="21" customHeight="1"/>
    <row r="524" ht="21" customHeight="1"/>
    <row r="525" ht="21" customHeight="1"/>
    <row r="526" ht="21" customHeight="1"/>
    <row r="527" ht="21" customHeight="1"/>
    <row r="528" ht="21" customHeight="1"/>
    <row r="529" ht="21" customHeight="1"/>
    <row r="530" ht="21" customHeight="1"/>
    <row r="531" ht="21" customHeight="1"/>
    <row r="532" ht="21" customHeight="1"/>
    <row r="533" ht="21" customHeight="1"/>
    <row r="534" ht="21" customHeight="1"/>
    <row r="535" ht="21" customHeight="1"/>
    <row r="536" ht="21" customHeight="1"/>
    <row r="537" ht="21" customHeight="1"/>
    <row r="538" ht="21" customHeight="1"/>
    <row r="539" ht="21" customHeight="1"/>
    <row r="540" ht="21" customHeight="1"/>
    <row r="541" ht="21" customHeight="1"/>
    <row r="542" ht="21" customHeight="1"/>
    <row r="543" ht="21" customHeight="1"/>
    <row r="544" ht="21" customHeight="1"/>
    <row r="545" ht="21" customHeight="1"/>
    <row r="546" ht="21" customHeight="1"/>
    <row r="547" ht="21" customHeight="1"/>
    <row r="548" ht="21" customHeight="1"/>
    <row r="549" ht="21" customHeight="1"/>
    <row r="550" ht="21" customHeight="1"/>
    <row r="551" ht="21" customHeight="1"/>
    <row r="552" ht="21" customHeight="1"/>
    <row r="553" ht="21" customHeight="1"/>
    <row r="554" ht="21" customHeight="1"/>
    <row r="555" ht="21" customHeight="1"/>
    <row r="556" ht="21" customHeight="1"/>
    <row r="557" ht="21" customHeight="1"/>
    <row r="558" ht="21" customHeight="1"/>
    <row r="559" ht="21" customHeight="1"/>
    <row r="560" ht="21" customHeight="1"/>
    <row r="561" ht="21" customHeight="1"/>
    <row r="562" ht="21" customHeight="1"/>
    <row r="563" ht="21" customHeight="1"/>
    <row r="564" ht="21" customHeight="1"/>
    <row r="565" ht="21" customHeight="1"/>
    <row r="566" ht="21" customHeight="1"/>
    <row r="567" ht="21" customHeight="1"/>
    <row r="568" ht="21" customHeight="1"/>
    <row r="569" ht="21" customHeight="1"/>
    <row r="570" ht="21" customHeight="1"/>
    <row r="571" ht="21" customHeight="1"/>
    <row r="572" ht="21" customHeight="1"/>
    <row r="573" ht="21" customHeight="1"/>
    <row r="574" ht="21" customHeight="1"/>
    <row r="575" ht="21" customHeight="1"/>
    <row r="576" ht="21" customHeight="1"/>
    <row r="577" ht="21" customHeight="1"/>
    <row r="578" ht="21" customHeight="1"/>
    <row r="579" ht="21" customHeight="1"/>
    <row r="580" ht="21" customHeight="1"/>
    <row r="581" ht="21" customHeight="1"/>
    <row r="582" ht="21" customHeight="1"/>
    <row r="583" ht="21" customHeight="1"/>
    <row r="584" ht="21" customHeight="1"/>
    <row r="585" ht="21" customHeight="1"/>
    <row r="586" ht="21" customHeight="1"/>
    <row r="587" ht="21" customHeight="1"/>
    <row r="588" ht="21" customHeight="1"/>
    <row r="589" ht="21" customHeight="1"/>
    <row r="590" ht="21" customHeight="1"/>
    <row r="591" ht="21" customHeight="1"/>
    <row r="592" ht="21" customHeight="1"/>
    <row r="593" ht="21" customHeight="1"/>
    <row r="594" ht="21" customHeight="1"/>
    <row r="595" ht="21" customHeight="1"/>
    <row r="596" ht="21" customHeight="1"/>
    <row r="597" ht="21" customHeight="1"/>
    <row r="598" ht="21" customHeight="1"/>
    <row r="599" ht="21" customHeight="1"/>
    <row r="600" ht="21" customHeight="1"/>
    <row r="601" ht="21" customHeight="1"/>
    <row r="602" ht="21" customHeight="1"/>
    <row r="603" ht="21" customHeight="1"/>
    <row r="604" ht="21" customHeight="1"/>
    <row r="605" ht="21" customHeight="1"/>
    <row r="606" ht="21" customHeight="1"/>
    <row r="607" ht="21" customHeight="1"/>
    <row r="608" ht="21" customHeight="1"/>
    <row r="609" ht="21" customHeight="1"/>
    <row r="610" ht="21" customHeight="1"/>
    <row r="611" ht="21" customHeight="1"/>
    <row r="612" ht="21" customHeight="1"/>
    <row r="613" ht="21" customHeight="1"/>
    <row r="614" ht="21" customHeight="1"/>
    <row r="615" ht="21" customHeight="1"/>
    <row r="616" ht="21" customHeight="1"/>
    <row r="617" ht="21" customHeight="1"/>
    <row r="618" ht="21" customHeight="1"/>
    <row r="619" ht="21" customHeight="1"/>
    <row r="620" ht="21" customHeight="1"/>
    <row r="621" ht="21" customHeight="1"/>
    <row r="622" ht="21" customHeight="1"/>
    <row r="623" ht="21" customHeight="1"/>
    <row r="624" ht="21" customHeight="1"/>
    <row r="625" ht="21" customHeight="1"/>
    <row r="626" ht="21" customHeight="1"/>
    <row r="627" ht="21" customHeight="1"/>
    <row r="628" ht="21" customHeight="1"/>
    <row r="629" ht="21" customHeight="1"/>
    <row r="630" ht="21" customHeight="1"/>
    <row r="631" ht="21" customHeight="1"/>
    <row r="632" ht="21" customHeight="1"/>
    <row r="633" ht="21" customHeight="1"/>
    <row r="634" ht="21" customHeight="1"/>
    <row r="635" ht="21" customHeight="1"/>
    <row r="636" ht="21" customHeight="1"/>
    <row r="637" ht="21" customHeight="1"/>
    <row r="638" ht="21" customHeight="1"/>
    <row r="639" ht="21" customHeight="1"/>
    <row r="640" ht="21" customHeight="1"/>
    <row r="641" ht="21" customHeight="1"/>
    <row r="642" ht="21" customHeight="1"/>
    <row r="643" ht="21" customHeight="1"/>
    <row r="644" ht="21" customHeight="1"/>
    <row r="645" ht="21" customHeight="1"/>
    <row r="646" ht="21" customHeight="1"/>
    <row r="647" ht="21" customHeight="1"/>
    <row r="648" ht="21" customHeight="1"/>
    <row r="649" ht="21" customHeight="1"/>
    <row r="650" ht="21" customHeight="1"/>
    <row r="651" ht="21" customHeight="1"/>
    <row r="652" ht="21" customHeight="1"/>
    <row r="653" ht="21" customHeight="1"/>
    <row r="654" ht="21" customHeight="1"/>
    <row r="655" ht="21" customHeight="1"/>
    <row r="656" ht="21" customHeight="1"/>
    <row r="657" ht="21" customHeight="1"/>
    <row r="658" ht="21" customHeight="1"/>
    <row r="659" ht="21" customHeight="1"/>
    <row r="660" ht="21" customHeight="1"/>
    <row r="661" ht="21" customHeight="1"/>
    <row r="662" ht="21" customHeight="1"/>
    <row r="663" ht="21" customHeight="1"/>
    <row r="664" ht="21" customHeight="1"/>
    <row r="665" ht="21" customHeight="1"/>
    <row r="666" ht="21" customHeight="1"/>
    <row r="667" ht="21" customHeight="1"/>
    <row r="668" ht="21" customHeight="1"/>
    <row r="669" ht="21" customHeight="1"/>
    <row r="670" ht="21" customHeight="1"/>
    <row r="671" ht="21" customHeight="1"/>
    <row r="672" ht="21" customHeight="1"/>
    <row r="673" ht="21" customHeight="1"/>
    <row r="674" ht="21" customHeight="1"/>
    <row r="675" ht="21" customHeight="1"/>
    <row r="676" ht="21" customHeight="1"/>
    <row r="677" ht="21" customHeight="1"/>
    <row r="678" ht="21" customHeight="1"/>
    <row r="679" ht="21" customHeight="1"/>
    <row r="680" ht="21" customHeight="1"/>
    <row r="681" ht="21" customHeight="1"/>
    <row r="682" ht="21" customHeight="1"/>
    <row r="683" ht="21" customHeight="1"/>
    <row r="684" ht="21" customHeight="1"/>
    <row r="685" ht="21" customHeight="1"/>
    <row r="686" ht="21" customHeight="1"/>
    <row r="687" ht="21" customHeight="1"/>
    <row r="688" ht="21" customHeight="1"/>
    <row r="689" ht="21" customHeight="1"/>
    <row r="690" ht="21" customHeight="1"/>
    <row r="691" ht="21" customHeight="1"/>
    <row r="692" ht="21" customHeight="1"/>
    <row r="693" ht="21" customHeight="1"/>
    <row r="694" ht="21" customHeight="1"/>
    <row r="695" ht="21" customHeight="1"/>
    <row r="696" ht="21" customHeight="1"/>
    <row r="697" ht="21" customHeight="1"/>
    <row r="698" ht="21" customHeight="1"/>
    <row r="699" ht="21" customHeight="1"/>
    <row r="700" ht="21" customHeight="1"/>
    <row r="701" ht="21" customHeight="1"/>
    <row r="702" ht="21" customHeight="1"/>
    <row r="703" ht="21" customHeight="1"/>
    <row r="704" ht="21" customHeight="1"/>
    <row r="705" ht="21" customHeight="1"/>
    <row r="706" ht="21" customHeight="1"/>
    <row r="707" ht="21" customHeight="1"/>
    <row r="708" ht="21" customHeight="1"/>
    <row r="709" ht="21" customHeight="1"/>
    <row r="710" ht="21" customHeight="1"/>
    <row r="711" ht="21" customHeight="1"/>
    <row r="712" ht="21" customHeight="1"/>
    <row r="713" ht="21" customHeight="1"/>
    <row r="714" ht="21" customHeight="1"/>
    <row r="715" ht="21" customHeight="1"/>
    <row r="716" ht="21" customHeight="1"/>
    <row r="717" ht="21" customHeight="1"/>
    <row r="718" ht="21" customHeight="1"/>
    <row r="719" ht="21" customHeight="1"/>
    <row r="720" ht="21" customHeight="1"/>
    <row r="721" ht="21" customHeight="1"/>
    <row r="722" ht="21" customHeight="1"/>
    <row r="723" ht="21" customHeight="1"/>
    <row r="724" ht="21" customHeight="1"/>
    <row r="725" ht="21" customHeight="1"/>
    <row r="726" ht="21" customHeight="1"/>
    <row r="727" ht="21" customHeight="1"/>
    <row r="728" ht="21" customHeight="1"/>
    <row r="729" ht="21" customHeight="1"/>
    <row r="730" ht="21" customHeight="1"/>
    <row r="731" ht="21" customHeight="1"/>
    <row r="732" ht="21" customHeight="1"/>
    <row r="733" ht="21" customHeight="1"/>
    <row r="734" ht="21" customHeight="1"/>
    <row r="735" ht="21" customHeight="1"/>
    <row r="736" ht="21" customHeight="1"/>
    <row r="737" ht="21" customHeight="1"/>
    <row r="738" ht="21" customHeight="1"/>
    <row r="739" ht="21" customHeight="1"/>
    <row r="740" ht="21" customHeight="1"/>
    <row r="741" ht="21" customHeight="1"/>
    <row r="742" ht="21" customHeight="1"/>
    <row r="743" ht="21" customHeight="1"/>
    <row r="744" ht="21" customHeight="1"/>
    <row r="745" ht="21" customHeight="1"/>
    <row r="746" ht="21" customHeight="1"/>
    <row r="747" ht="21" customHeight="1"/>
    <row r="748" ht="21" customHeight="1"/>
    <row r="749" ht="21" customHeight="1"/>
    <row r="750" ht="21" customHeight="1"/>
    <row r="751" ht="21" customHeight="1"/>
    <row r="752" ht="21" customHeight="1"/>
    <row r="753" ht="21" customHeight="1"/>
    <row r="754" ht="21" customHeight="1"/>
    <row r="755" ht="21" customHeight="1"/>
    <row r="756" ht="21" customHeight="1"/>
    <row r="757" ht="21" customHeight="1"/>
    <row r="758" ht="21" customHeight="1"/>
    <row r="759" ht="21" customHeight="1"/>
    <row r="760" ht="21" customHeight="1"/>
    <row r="761" ht="21" customHeight="1"/>
    <row r="762" ht="21" customHeight="1"/>
    <row r="763" ht="21" customHeight="1"/>
    <row r="764" ht="21" customHeight="1"/>
    <row r="765" ht="21" customHeight="1"/>
    <row r="766" ht="21" customHeight="1"/>
    <row r="767" ht="21" customHeight="1"/>
    <row r="768" ht="21" customHeight="1"/>
    <row r="769" ht="21" customHeight="1"/>
    <row r="770" ht="21" customHeight="1"/>
    <row r="771" ht="21" customHeight="1"/>
    <row r="772" ht="21" customHeight="1"/>
    <row r="773" ht="21" customHeight="1"/>
    <row r="774" ht="21" customHeight="1"/>
    <row r="775" ht="21" customHeight="1"/>
    <row r="776" ht="21" customHeight="1"/>
    <row r="777" ht="21" customHeight="1"/>
    <row r="778" ht="21" customHeight="1"/>
    <row r="779" ht="21" customHeight="1"/>
    <row r="780" ht="21" customHeight="1"/>
    <row r="781" ht="21" customHeight="1"/>
    <row r="782" ht="21" customHeight="1"/>
    <row r="783" ht="21" customHeight="1"/>
    <row r="784" ht="21" customHeight="1"/>
    <row r="785" ht="21" customHeight="1"/>
    <row r="786" ht="21" customHeight="1"/>
    <row r="787" ht="21" customHeight="1"/>
    <row r="788" ht="21" customHeight="1"/>
    <row r="789" ht="21" customHeight="1"/>
    <row r="790" ht="21" customHeight="1"/>
    <row r="791" ht="21" customHeight="1"/>
    <row r="792" ht="21" customHeight="1"/>
    <row r="793" ht="21" customHeight="1"/>
    <row r="794" ht="21" customHeight="1"/>
    <row r="795" ht="21" customHeight="1"/>
    <row r="796" ht="21" customHeight="1"/>
    <row r="797" ht="21" customHeight="1"/>
    <row r="798" ht="21" customHeight="1"/>
    <row r="799" ht="21" customHeight="1"/>
    <row r="800" ht="21" customHeight="1"/>
    <row r="801" ht="21" customHeight="1"/>
    <row r="802" ht="21" customHeight="1"/>
    <row r="803" ht="21" customHeight="1"/>
    <row r="804" ht="21" customHeight="1"/>
    <row r="805" ht="21" customHeight="1"/>
    <row r="806" ht="21" customHeight="1"/>
    <row r="807" ht="21" customHeight="1"/>
    <row r="808" ht="21" customHeight="1"/>
    <row r="809" ht="21" customHeight="1"/>
    <row r="810" ht="21" customHeight="1"/>
    <row r="811" ht="21" customHeight="1"/>
    <row r="812" ht="21" customHeight="1"/>
    <row r="813" ht="21" customHeight="1"/>
    <row r="814" ht="21" customHeight="1"/>
    <row r="815" ht="21" customHeight="1"/>
    <row r="816" ht="21" customHeight="1"/>
    <row r="817" ht="21" customHeight="1"/>
    <row r="818" ht="21" customHeight="1"/>
    <row r="819" ht="21" customHeight="1"/>
    <row r="820" ht="21" customHeight="1"/>
    <row r="821" ht="21" customHeight="1"/>
    <row r="822" ht="21" customHeight="1"/>
    <row r="823" ht="21" customHeight="1"/>
    <row r="824" ht="21" customHeight="1"/>
    <row r="825" ht="21" customHeight="1"/>
    <row r="826" ht="21" customHeight="1"/>
    <row r="827" ht="21" customHeight="1"/>
    <row r="828" ht="21" customHeight="1"/>
    <row r="829" ht="21" customHeight="1"/>
    <row r="830" ht="21" customHeight="1"/>
    <row r="831" ht="21" customHeight="1"/>
    <row r="832" ht="21" customHeight="1"/>
    <row r="833" ht="21" customHeight="1"/>
    <row r="834" ht="21" customHeight="1"/>
    <row r="835" ht="21" customHeight="1"/>
    <row r="836" ht="21" customHeight="1"/>
    <row r="837" ht="21" customHeight="1"/>
    <row r="838" ht="21" customHeight="1"/>
    <row r="839" ht="21" customHeight="1"/>
    <row r="840" ht="21" customHeight="1"/>
    <row r="841" ht="21" customHeight="1"/>
    <row r="842" ht="21" customHeight="1"/>
    <row r="843" ht="21" customHeight="1"/>
    <row r="844" ht="21" customHeight="1"/>
    <row r="845" ht="21" customHeight="1"/>
    <row r="846" ht="21" customHeight="1"/>
    <row r="847" ht="21" customHeight="1"/>
    <row r="848" ht="21" customHeight="1"/>
    <row r="849" ht="21" customHeight="1"/>
    <row r="850" ht="21" customHeight="1"/>
    <row r="851" ht="21" customHeight="1"/>
    <row r="852" ht="21" customHeight="1"/>
    <row r="853" ht="21" customHeight="1"/>
    <row r="854" ht="21" customHeight="1"/>
    <row r="855" ht="21" customHeight="1"/>
    <row r="856" ht="21" customHeight="1"/>
    <row r="857" ht="21" customHeight="1"/>
    <row r="858" ht="21" customHeight="1"/>
    <row r="859" ht="21" customHeight="1"/>
    <row r="860" ht="21" customHeight="1"/>
    <row r="861" ht="21" customHeight="1"/>
    <row r="862" ht="21" customHeight="1"/>
    <row r="863" ht="21" customHeight="1"/>
    <row r="864" ht="21" customHeight="1"/>
    <row r="865" ht="21" customHeight="1"/>
    <row r="866" ht="21" customHeight="1"/>
    <row r="867" ht="21" customHeight="1"/>
    <row r="868" ht="21" customHeight="1"/>
    <row r="869" ht="21" customHeight="1"/>
    <row r="870" ht="21" customHeight="1"/>
    <row r="871" ht="21" customHeight="1"/>
    <row r="872" ht="21" customHeight="1"/>
    <row r="873" ht="21" customHeight="1"/>
    <row r="874" ht="21" customHeight="1"/>
    <row r="875" ht="21" customHeight="1"/>
    <row r="876" ht="21" customHeight="1"/>
    <row r="877" ht="21" customHeight="1"/>
    <row r="878" ht="21" customHeight="1"/>
    <row r="879" ht="21" customHeight="1"/>
    <row r="880" ht="21" customHeight="1"/>
    <row r="881" ht="21" customHeight="1"/>
    <row r="882" ht="21" customHeight="1"/>
    <row r="883" ht="21" customHeight="1"/>
    <row r="884" ht="21" customHeight="1"/>
    <row r="885" ht="21" customHeight="1"/>
    <row r="886" ht="21" customHeight="1"/>
    <row r="887" ht="21" customHeight="1"/>
    <row r="888" ht="21" customHeight="1"/>
    <row r="889" ht="21" customHeight="1"/>
    <row r="890" ht="21" customHeight="1"/>
    <row r="891" ht="21" customHeight="1"/>
    <row r="892" ht="21" customHeight="1"/>
    <row r="893" ht="21" customHeight="1"/>
    <row r="894" ht="21" customHeight="1"/>
    <row r="895" ht="21" customHeight="1"/>
    <row r="896" ht="21" customHeight="1"/>
    <row r="897" ht="21" customHeight="1"/>
    <row r="898" ht="21" customHeight="1"/>
    <row r="899" ht="21" customHeight="1"/>
    <row r="900" ht="21" customHeight="1"/>
    <row r="901" ht="21" customHeight="1"/>
    <row r="902" ht="21" customHeight="1"/>
    <row r="903" ht="21" customHeight="1"/>
    <row r="904" ht="21" customHeight="1"/>
    <row r="905" ht="21" customHeight="1"/>
    <row r="906" ht="21" customHeight="1"/>
    <row r="907" ht="21" customHeight="1"/>
    <row r="908" ht="21" customHeight="1"/>
    <row r="909" ht="21" customHeight="1"/>
    <row r="910" ht="21" customHeight="1"/>
    <row r="911" ht="21" customHeight="1"/>
    <row r="912" ht="21" customHeight="1"/>
    <row r="913" ht="21" customHeight="1"/>
    <row r="914" ht="21" customHeight="1"/>
    <row r="915" ht="21" customHeight="1"/>
    <row r="916" ht="21" customHeight="1"/>
    <row r="917" ht="21" customHeight="1"/>
    <row r="918" ht="21" customHeight="1"/>
    <row r="919" ht="21" customHeight="1"/>
    <row r="920" ht="21" customHeight="1"/>
    <row r="921" ht="21" customHeight="1"/>
    <row r="922" ht="21" customHeight="1"/>
    <row r="923" ht="21" customHeight="1"/>
    <row r="924" ht="21" customHeight="1"/>
    <row r="925" ht="21" customHeight="1"/>
    <row r="926" ht="21" customHeight="1"/>
    <row r="927" ht="21" customHeight="1"/>
    <row r="928" ht="21" customHeight="1"/>
    <row r="929" ht="21" customHeight="1"/>
    <row r="930" ht="21" customHeight="1"/>
    <row r="931" ht="21" customHeight="1"/>
    <row r="932" ht="21" customHeight="1"/>
    <row r="933" ht="21" customHeight="1"/>
    <row r="934" ht="21" customHeight="1"/>
    <row r="935" ht="21" customHeight="1"/>
    <row r="936" ht="21" customHeight="1"/>
    <row r="937" ht="21" customHeight="1"/>
    <row r="938" ht="21" customHeight="1"/>
    <row r="939" ht="21" customHeight="1"/>
    <row r="940" ht="21" customHeight="1"/>
    <row r="941" ht="21" customHeight="1"/>
    <row r="942" ht="21" customHeight="1"/>
    <row r="943" ht="21" customHeight="1"/>
    <row r="944" ht="21" customHeight="1"/>
    <row r="945" ht="21" customHeight="1"/>
    <row r="946" ht="21" customHeight="1"/>
    <row r="947" ht="21" customHeight="1"/>
    <row r="948" ht="21" customHeight="1"/>
    <row r="949" ht="21" customHeight="1"/>
    <row r="950" ht="21" customHeight="1"/>
    <row r="951" ht="21" customHeight="1"/>
    <row r="952" ht="21" customHeight="1"/>
    <row r="953" ht="21" customHeight="1"/>
    <row r="954" ht="21" customHeight="1"/>
    <row r="955" ht="21" customHeight="1"/>
    <row r="956" ht="21" customHeight="1"/>
    <row r="957" ht="21" customHeight="1"/>
    <row r="958" ht="21" customHeight="1"/>
    <row r="959" ht="21" customHeight="1"/>
    <row r="960" ht="21" customHeight="1"/>
    <row r="961" ht="21" customHeight="1"/>
    <row r="962" ht="21" customHeight="1"/>
    <row r="963" ht="21" customHeight="1"/>
    <row r="964" ht="21" customHeight="1"/>
    <row r="965" ht="21" customHeight="1"/>
    <row r="966" ht="21" customHeight="1"/>
    <row r="967" ht="21" customHeight="1"/>
    <row r="968" ht="21" customHeight="1"/>
    <row r="969" ht="21" customHeight="1"/>
    <row r="970" ht="21" customHeight="1"/>
    <row r="971" ht="21" customHeight="1"/>
    <row r="972" ht="21" customHeight="1"/>
    <row r="973" ht="21" customHeight="1"/>
    <row r="974" ht="21" customHeight="1"/>
    <row r="975" ht="21" customHeight="1"/>
    <row r="976" ht="21" customHeight="1"/>
    <row r="977" ht="21" customHeight="1"/>
    <row r="978" ht="21" customHeight="1"/>
    <row r="979" ht="21" customHeight="1"/>
    <row r="980" ht="21" customHeight="1"/>
    <row r="981" ht="21" customHeight="1"/>
    <row r="982" ht="21" customHeight="1"/>
    <row r="983" ht="21" customHeight="1"/>
    <row r="984" ht="21" customHeight="1"/>
    <row r="985" ht="21" customHeight="1"/>
    <row r="986" ht="21" customHeight="1"/>
    <row r="987" ht="21" customHeight="1"/>
    <row r="988" ht="21" customHeight="1"/>
    <row r="989" ht="21" customHeight="1"/>
    <row r="990" ht="21" customHeight="1"/>
    <row r="991" ht="21" customHeight="1"/>
    <row r="992" ht="21" customHeight="1"/>
    <row r="993" ht="21" customHeight="1"/>
    <row r="994" ht="21" customHeight="1"/>
    <row r="995" ht="21" customHeight="1"/>
    <row r="996" ht="21" customHeight="1"/>
    <row r="997" ht="21" customHeight="1"/>
    <row r="998" ht="21" customHeight="1"/>
    <row r="999" ht="21" customHeight="1"/>
    <row r="1000" ht="21" customHeight="1"/>
  </sheetData>
  <conditionalFormatting sqref="N2:N15">
    <cfRule type="expression" dxfId="7" priority="1">
      <formula>N2="Pass"</formula>
    </cfRule>
  </conditionalFormatting>
  <conditionalFormatting sqref="N2:N15">
    <cfRule type="expression" dxfId="6" priority="2">
      <formula>N2="Fail"</formula>
    </cfRule>
  </conditionalFormatting>
  <conditionalFormatting sqref="N2:N15">
    <cfRule type="expression" dxfId="5" priority="3">
      <formula>N2="Blocked"</formula>
    </cfRule>
  </conditionalFormatting>
  <conditionalFormatting sqref="Q2:Q15">
    <cfRule type="expression" dxfId="4" priority="4">
      <formula>Q2="Yes"</formula>
    </cfRule>
  </conditionalFormatting>
  <conditionalFormatting sqref="Q2:Q15">
    <cfRule type="expression" dxfId="3" priority="5">
      <formula>Q2="Later"</formula>
    </cfRule>
  </conditionalFormatting>
  <conditionalFormatting sqref="Q2:Q15">
    <cfRule type="expression" dxfId="2" priority="6">
      <formula>Q2="No"</formula>
    </cfRule>
  </conditionalFormatting>
  <conditionalFormatting sqref="O2:O15">
    <cfRule type="expression" dxfId="1" priority="7">
      <formula>O2="High"</formula>
    </cfRule>
  </conditionalFormatting>
  <dataValidations count="4">
    <dataValidation type="list" allowBlank="1" sqref="R2:R15" xr:uid="{00000000-0002-0000-0700-000000000000}">
      <formula1>"P1,P2,P3,P4"</formula1>
    </dataValidation>
    <dataValidation type="list" allowBlank="1" sqref="O2:O15" xr:uid="{00000000-0002-0000-0700-000001000000}">
      <formula1>"High,Medium,Low"</formula1>
    </dataValidation>
    <dataValidation type="list" allowBlank="1" sqref="N2:N15" xr:uid="{00000000-0002-0000-0700-000002000000}">
      <formula1>"Not Run,Pass,Fail,Blocked,Retest"</formula1>
    </dataValidation>
    <dataValidation type="list" allowBlank="1" sqref="Q2:Q15" xr:uid="{00000000-0002-0000-0700-000003000000}">
      <formula1>"Yes,Later,No"</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99"/>
  <sheetViews>
    <sheetView workbookViewId="0"/>
  </sheetViews>
  <sheetFormatPr baseColWidth="10" defaultColWidth="12.6640625" defaultRowHeight="15"/>
  <cols>
    <col min="1" max="1" width="12" customWidth="1"/>
    <col min="2" max="2" width="14" customWidth="1"/>
    <col min="3" max="3" width="34" customWidth="1"/>
    <col min="4" max="4" width="14" customWidth="1"/>
    <col min="5" max="5" width="60" customWidth="1"/>
    <col min="6" max="26" width="8.6640625" customWidth="1"/>
  </cols>
  <sheetData>
    <row r="1" spans="1:5" ht="16">
      <c r="A1" s="10" t="s">
        <v>604</v>
      </c>
      <c r="B1" s="10" t="s">
        <v>605</v>
      </c>
      <c r="C1" s="10" t="s">
        <v>606</v>
      </c>
      <c r="D1" s="10" t="s">
        <v>607</v>
      </c>
      <c r="E1" s="10" t="s">
        <v>608</v>
      </c>
    </row>
    <row r="2" spans="1:5" ht="16">
      <c r="A2" s="1" t="s">
        <v>28</v>
      </c>
      <c r="B2" s="1" t="s">
        <v>18</v>
      </c>
      <c r="C2" s="1" t="s">
        <v>29</v>
      </c>
      <c r="D2" s="1" t="s">
        <v>609</v>
      </c>
      <c r="E2" s="1"/>
    </row>
    <row r="3" spans="1:5" ht="16">
      <c r="A3" s="1" t="s">
        <v>31</v>
      </c>
      <c r="B3" s="1" t="s">
        <v>18</v>
      </c>
      <c r="C3" s="1" t="s">
        <v>32</v>
      </c>
      <c r="D3" s="1" t="s">
        <v>609</v>
      </c>
      <c r="E3" s="1"/>
    </row>
    <row r="4" spans="1:5" ht="16">
      <c r="A4" s="1" t="s">
        <v>34</v>
      </c>
      <c r="B4" s="1" t="s">
        <v>18</v>
      </c>
      <c r="C4" s="1" t="s">
        <v>35</v>
      </c>
      <c r="D4" s="1" t="s">
        <v>609</v>
      </c>
      <c r="E4" s="1"/>
    </row>
    <row r="5" spans="1:5" ht="16">
      <c r="A5" s="1" t="s">
        <v>37</v>
      </c>
      <c r="B5" s="1" t="s">
        <v>18</v>
      </c>
      <c r="C5" s="1" t="s">
        <v>38</v>
      </c>
      <c r="D5" s="1" t="s">
        <v>609</v>
      </c>
      <c r="E5" s="1"/>
    </row>
    <row r="6" spans="1:5" ht="16">
      <c r="A6" s="1" t="s">
        <v>40</v>
      </c>
      <c r="B6" s="1" t="s">
        <v>18</v>
      </c>
      <c r="C6" s="1" t="s">
        <v>41</v>
      </c>
      <c r="D6" s="1" t="s">
        <v>609</v>
      </c>
      <c r="E6" s="1"/>
    </row>
    <row r="7" spans="1:5" ht="16">
      <c r="A7" s="1" t="s">
        <v>43</v>
      </c>
      <c r="B7" s="1" t="s">
        <v>18</v>
      </c>
      <c r="C7" s="1" t="s">
        <v>44</v>
      </c>
      <c r="D7" s="1" t="s">
        <v>609</v>
      </c>
      <c r="E7" s="1"/>
    </row>
    <row r="8" spans="1:5" ht="16">
      <c r="A8" s="1" t="s">
        <v>46</v>
      </c>
      <c r="B8" s="1" t="s">
        <v>18</v>
      </c>
      <c r="C8" s="1" t="s">
        <v>47</v>
      </c>
      <c r="D8" s="1" t="s">
        <v>609</v>
      </c>
      <c r="E8" s="1"/>
    </row>
    <row r="9" spans="1:5" ht="16">
      <c r="A9" s="1" t="s">
        <v>83</v>
      </c>
      <c r="B9" s="1" t="s">
        <v>64</v>
      </c>
      <c r="C9" s="1" t="s">
        <v>84</v>
      </c>
      <c r="D9" s="1" t="s">
        <v>609</v>
      </c>
      <c r="E9" s="1"/>
    </row>
    <row r="10" spans="1:5" ht="16">
      <c r="A10" s="1" t="s">
        <v>128</v>
      </c>
      <c r="B10" s="1" t="s">
        <v>64</v>
      </c>
      <c r="C10" s="1" t="s">
        <v>129</v>
      </c>
      <c r="D10" s="1" t="s">
        <v>609</v>
      </c>
      <c r="E10" s="1"/>
    </row>
    <row r="11" spans="1:5" ht="16">
      <c r="A11" s="1" t="s">
        <v>157</v>
      </c>
      <c r="B11" s="1" t="s">
        <v>64</v>
      </c>
      <c r="C11" s="1" t="s">
        <v>158</v>
      </c>
      <c r="D11" s="1" t="s">
        <v>609</v>
      </c>
      <c r="E11" s="1"/>
    </row>
    <row r="12" spans="1:5" ht="16">
      <c r="A12" s="1" t="s">
        <v>166</v>
      </c>
      <c r="B12" s="1" t="s">
        <v>64</v>
      </c>
      <c r="C12" s="1" t="s">
        <v>167</v>
      </c>
      <c r="D12" s="1" t="s">
        <v>609</v>
      </c>
      <c r="E12" s="1"/>
    </row>
    <row r="13" spans="1:5" ht="16">
      <c r="A13" s="1" t="s">
        <v>183</v>
      </c>
      <c r="B13" s="1" t="s">
        <v>64</v>
      </c>
      <c r="C13" s="1" t="s">
        <v>184</v>
      </c>
      <c r="D13" s="1" t="s">
        <v>609</v>
      </c>
      <c r="E13" s="1"/>
    </row>
    <row r="14" spans="1:5" ht="16">
      <c r="A14" s="1" t="s">
        <v>199</v>
      </c>
      <c r="B14" s="1" t="s">
        <v>64</v>
      </c>
      <c r="C14" s="1" t="s">
        <v>200</v>
      </c>
      <c r="D14" s="1" t="s">
        <v>609</v>
      </c>
      <c r="E14" s="1"/>
    </row>
    <row r="15" spans="1:5" ht="16">
      <c r="A15" s="1" t="s">
        <v>213</v>
      </c>
      <c r="B15" s="1" t="s">
        <v>64</v>
      </c>
      <c r="C15" s="1" t="s">
        <v>214</v>
      </c>
      <c r="D15" s="1" t="s">
        <v>609</v>
      </c>
      <c r="E15" s="1"/>
    </row>
    <row r="16" spans="1:5" ht="16">
      <c r="A16" s="1" t="s">
        <v>226</v>
      </c>
      <c r="B16" s="1" t="s">
        <v>64</v>
      </c>
      <c r="C16" s="1" t="s">
        <v>227</v>
      </c>
      <c r="D16" s="1" t="s">
        <v>609</v>
      </c>
      <c r="E16" s="1"/>
    </row>
    <row r="17" spans="1:5" ht="16">
      <c r="A17" s="1" t="s">
        <v>243</v>
      </c>
      <c r="B17" s="1" t="s">
        <v>64</v>
      </c>
      <c r="C17" s="11" t="s">
        <v>244</v>
      </c>
      <c r="D17" s="1" t="s">
        <v>609</v>
      </c>
      <c r="E17" s="1"/>
    </row>
    <row r="18" spans="1:5" ht="16">
      <c r="A18" s="1" t="s">
        <v>260</v>
      </c>
      <c r="B18" s="1" t="s">
        <v>64</v>
      </c>
      <c r="C18" s="1" t="s">
        <v>261</v>
      </c>
      <c r="D18" s="1" t="s">
        <v>609</v>
      </c>
      <c r="E18" s="1"/>
    </row>
    <row r="19" spans="1:5" ht="16">
      <c r="A19" s="1" t="s">
        <v>275</v>
      </c>
      <c r="B19" s="1" t="s">
        <v>64</v>
      </c>
      <c r="C19" s="1" t="s">
        <v>276</v>
      </c>
      <c r="D19" s="1" t="s">
        <v>609</v>
      </c>
      <c r="E19" s="1"/>
    </row>
    <row r="20" spans="1:5" ht="16">
      <c r="A20" s="1" t="s">
        <v>290</v>
      </c>
      <c r="B20" s="1" t="s">
        <v>64</v>
      </c>
      <c r="C20" s="1" t="s">
        <v>291</v>
      </c>
      <c r="D20" s="1" t="s">
        <v>609</v>
      </c>
      <c r="E20" s="1"/>
    </row>
    <row r="21" spans="1:5" ht="21" customHeight="1">
      <c r="A21" s="1" t="s">
        <v>315</v>
      </c>
      <c r="B21" s="1" t="s">
        <v>64</v>
      </c>
      <c r="C21" s="1" t="s">
        <v>316</v>
      </c>
      <c r="D21" s="1" t="s">
        <v>609</v>
      </c>
      <c r="E21" s="1"/>
    </row>
    <row r="22" spans="1:5" ht="21" customHeight="1">
      <c r="A22" s="1" t="s">
        <v>331</v>
      </c>
      <c r="B22" s="1" t="s">
        <v>64</v>
      </c>
      <c r="C22" s="1" t="s">
        <v>332</v>
      </c>
      <c r="D22" s="1" t="s">
        <v>609</v>
      </c>
      <c r="E22" s="1"/>
    </row>
    <row r="23" spans="1:5" ht="21" customHeight="1">
      <c r="A23" s="1" t="s">
        <v>349</v>
      </c>
      <c r="B23" s="1" t="s">
        <v>64</v>
      </c>
      <c r="C23" s="1" t="s">
        <v>350</v>
      </c>
      <c r="D23" s="1" t="s">
        <v>609</v>
      </c>
      <c r="E23" s="1"/>
    </row>
    <row r="24" spans="1:5" ht="21" customHeight="1">
      <c r="A24" s="1" t="s">
        <v>358</v>
      </c>
      <c r="B24" s="1" t="s">
        <v>64</v>
      </c>
      <c r="C24" s="1" t="s">
        <v>359</v>
      </c>
      <c r="D24" s="1" t="s">
        <v>609</v>
      </c>
      <c r="E24" s="1"/>
    </row>
    <row r="25" spans="1:5" ht="21" customHeight="1">
      <c r="A25" s="1" t="s">
        <v>368</v>
      </c>
      <c r="B25" s="1" t="s">
        <v>64</v>
      </c>
      <c r="C25" s="1" t="s">
        <v>369</v>
      </c>
      <c r="D25" s="1" t="s">
        <v>609</v>
      </c>
      <c r="E25" s="1"/>
    </row>
    <row r="26" spans="1:5" ht="21" customHeight="1">
      <c r="A26" s="1" t="s">
        <v>377</v>
      </c>
      <c r="B26" s="1" t="s">
        <v>64</v>
      </c>
      <c r="C26" s="1" t="s">
        <v>378</v>
      </c>
      <c r="D26" s="1" t="s">
        <v>609</v>
      </c>
      <c r="E26" s="1"/>
    </row>
    <row r="27" spans="1:5" ht="21" customHeight="1">
      <c r="A27" s="1" t="s">
        <v>392</v>
      </c>
      <c r="B27" s="1" t="s">
        <v>64</v>
      </c>
      <c r="C27" s="1" t="s">
        <v>393</v>
      </c>
      <c r="D27" s="1" t="s">
        <v>609</v>
      </c>
      <c r="E27" s="1"/>
    </row>
    <row r="28" spans="1:5" ht="21" customHeight="1">
      <c r="A28" s="1" t="s">
        <v>406</v>
      </c>
      <c r="B28" s="1" t="s">
        <v>64</v>
      </c>
      <c r="C28" s="1" t="s">
        <v>407</v>
      </c>
      <c r="D28" s="1" t="s">
        <v>609</v>
      </c>
      <c r="E28" s="1"/>
    </row>
    <row r="29" spans="1:5" ht="21" customHeight="1">
      <c r="A29" s="1" t="s">
        <v>424</v>
      </c>
      <c r="B29" s="1" t="s">
        <v>64</v>
      </c>
      <c r="C29" s="1" t="s">
        <v>425</v>
      </c>
      <c r="D29" s="1" t="s">
        <v>609</v>
      </c>
      <c r="E29" s="1"/>
    </row>
    <row r="30" spans="1:5" ht="21" customHeight="1">
      <c r="A30" s="1" t="s">
        <v>443</v>
      </c>
      <c r="B30" s="1" t="s">
        <v>64</v>
      </c>
      <c r="C30" s="1" t="s">
        <v>444</v>
      </c>
      <c r="D30" s="1" t="s">
        <v>609</v>
      </c>
      <c r="E30" s="1"/>
    </row>
    <row r="31" spans="1:5" ht="21" customHeight="1">
      <c r="A31" s="1" t="s">
        <v>462</v>
      </c>
      <c r="B31" s="1" t="s">
        <v>64</v>
      </c>
      <c r="C31" s="1" t="s">
        <v>463</v>
      </c>
      <c r="D31" s="1" t="s">
        <v>609</v>
      </c>
      <c r="E31" s="1"/>
    </row>
    <row r="32" spans="1:5" ht="21" customHeight="1">
      <c r="A32" s="1" t="s">
        <v>470</v>
      </c>
      <c r="B32" s="1" t="s">
        <v>64</v>
      </c>
      <c r="C32" s="1" t="s">
        <v>471</v>
      </c>
      <c r="D32" s="1" t="s">
        <v>609</v>
      </c>
      <c r="E32" s="1"/>
    </row>
    <row r="33" spans="1:5" ht="21" customHeight="1">
      <c r="A33" s="1" t="s">
        <v>485</v>
      </c>
      <c r="B33" s="1" t="s">
        <v>64</v>
      </c>
      <c r="C33" s="1" t="s">
        <v>486</v>
      </c>
      <c r="D33" s="1" t="s">
        <v>609</v>
      </c>
      <c r="E33" s="1"/>
    </row>
    <row r="34" spans="1:5" ht="21" customHeight="1">
      <c r="A34" s="1" t="s">
        <v>500</v>
      </c>
      <c r="B34" s="1" t="s">
        <v>64</v>
      </c>
      <c r="C34" s="1" t="s">
        <v>501</v>
      </c>
      <c r="D34" s="1" t="s">
        <v>609</v>
      </c>
      <c r="E34" s="1"/>
    </row>
    <row r="35" spans="1:5" ht="21" customHeight="1">
      <c r="A35" s="1" t="s">
        <v>519</v>
      </c>
      <c r="B35" s="1" t="s">
        <v>64</v>
      </c>
      <c r="C35" s="1" t="s">
        <v>520</v>
      </c>
      <c r="D35" s="1" t="s">
        <v>609</v>
      </c>
      <c r="E35" s="1"/>
    </row>
    <row r="36" spans="1:5" ht="21" customHeight="1">
      <c r="A36" s="1" t="s">
        <v>534</v>
      </c>
      <c r="B36" s="1" t="s">
        <v>64</v>
      </c>
      <c r="C36" s="1" t="s">
        <v>535</v>
      </c>
      <c r="D36" s="1" t="s">
        <v>609</v>
      </c>
      <c r="E36" s="1"/>
    </row>
    <row r="37" spans="1:5" ht="21" customHeight="1">
      <c r="A37" s="1" t="s">
        <v>549</v>
      </c>
      <c r="B37" s="1" t="s">
        <v>64</v>
      </c>
      <c r="C37" s="1" t="s">
        <v>550</v>
      </c>
      <c r="D37" s="1" t="s">
        <v>609</v>
      </c>
      <c r="E37" s="1"/>
    </row>
    <row r="38" spans="1:5" ht="21" customHeight="1">
      <c r="A38" s="1" t="s">
        <v>577</v>
      </c>
      <c r="B38" s="1" t="s">
        <v>64</v>
      </c>
      <c r="C38" s="1" t="s">
        <v>578</v>
      </c>
      <c r="D38" s="1" t="s">
        <v>609</v>
      </c>
      <c r="E38" s="1"/>
    </row>
    <row r="39" spans="1:5" ht="21" customHeight="1"/>
    <row r="40" spans="1:5" ht="21" customHeight="1">
      <c r="A40" s="36"/>
      <c r="B40" s="31"/>
      <c r="C40" s="31"/>
      <c r="D40" s="31"/>
      <c r="E40" s="31"/>
    </row>
    <row r="41" spans="1:5" ht="21" customHeight="1"/>
    <row r="42" spans="1:5" ht="21" customHeight="1"/>
    <row r="43" spans="1:5" ht="21" customHeight="1"/>
    <row r="44" spans="1:5" ht="21" customHeight="1"/>
    <row r="45" spans="1:5" ht="21" customHeight="1"/>
    <row r="46" spans="1:5" ht="21" customHeight="1"/>
    <row r="47" spans="1:5" ht="21" customHeight="1"/>
    <row r="48" spans="1:5"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row r="350" ht="21" customHeight="1"/>
    <row r="351" ht="21" customHeight="1"/>
    <row r="352" ht="21" customHeight="1"/>
    <row r="353" ht="21" customHeight="1"/>
    <row r="354" ht="21" customHeight="1"/>
    <row r="355" ht="21" customHeight="1"/>
    <row r="356" ht="21" customHeight="1"/>
    <row r="357" ht="21" customHeight="1"/>
    <row r="358" ht="21" customHeight="1"/>
    <row r="359" ht="21" customHeight="1"/>
    <row r="360" ht="21" customHeight="1"/>
    <row r="361" ht="21" customHeight="1"/>
    <row r="362" ht="21" customHeight="1"/>
    <row r="363" ht="21" customHeight="1"/>
    <row r="364" ht="21" customHeight="1"/>
    <row r="365" ht="21" customHeight="1"/>
    <row r="366" ht="21" customHeight="1"/>
    <row r="367" ht="21" customHeight="1"/>
    <row r="368" ht="21" customHeight="1"/>
    <row r="369" ht="21" customHeight="1"/>
    <row r="370" ht="21" customHeight="1"/>
    <row r="371" ht="21" customHeight="1"/>
    <row r="372" ht="21" customHeight="1"/>
    <row r="373" ht="21" customHeight="1"/>
    <row r="374" ht="21" customHeight="1"/>
    <row r="375" ht="21" customHeight="1"/>
    <row r="376" ht="21" customHeight="1"/>
    <row r="377" ht="21" customHeight="1"/>
    <row r="378" ht="21" customHeight="1"/>
    <row r="379" ht="21" customHeight="1"/>
    <row r="380" ht="21" customHeight="1"/>
    <row r="381" ht="21" customHeight="1"/>
    <row r="382" ht="21" customHeight="1"/>
    <row r="383" ht="21" customHeight="1"/>
    <row r="384" ht="21" customHeight="1"/>
    <row r="385" ht="21" customHeight="1"/>
    <row r="386" ht="21" customHeight="1"/>
    <row r="387" ht="21" customHeight="1"/>
    <row r="388" ht="21" customHeight="1"/>
    <row r="389" ht="21" customHeight="1"/>
    <row r="390" ht="21" customHeight="1"/>
    <row r="391" ht="21" customHeight="1"/>
    <row r="392" ht="21" customHeight="1"/>
    <row r="393" ht="21" customHeight="1"/>
    <row r="394" ht="21" customHeight="1"/>
    <row r="395" ht="21" customHeight="1"/>
    <row r="396" ht="21" customHeight="1"/>
    <row r="397" ht="21" customHeight="1"/>
    <row r="398" ht="21" customHeight="1"/>
    <row r="399" ht="21" customHeight="1"/>
    <row r="400" ht="21" customHeight="1"/>
    <row r="401" ht="21" customHeight="1"/>
    <row r="402" ht="21" customHeight="1"/>
    <row r="403" ht="21" customHeight="1"/>
    <row r="404" ht="21" customHeight="1"/>
    <row r="405" ht="21" customHeight="1"/>
    <row r="406" ht="21" customHeight="1"/>
    <row r="407" ht="21" customHeight="1"/>
    <row r="408" ht="21" customHeight="1"/>
    <row r="409" ht="21" customHeight="1"/>
    <row r="410" ht="21" customHeight="1"/>
    <row r="411" ht="21" customHeight="1"/>
    <row r="412" ht="21" customHeight="1"/>
    <row r="413" ht="21" customHeight="1"/>
    <row r="414" ht="21" customHeight="1"/>
    <row r="415" ht="21" customHeight="1"/>
    <row r="416" ht="21" customHeight="1"/>
    <row r="417" ht="21" customHeight="1"/>
    <row r="418" ht="21" customHeight="1"/>
    <row r="419" ht="21" customHeight="1"/>
    <row r="420" ht="21" customHeight="1"/>
    <row r="421" ht="21" customHeight="1"/>
    <row r="422" ht="21" customHeight="1"/>
    <row r="423" ht="21" customHeight="1"/>
    <row r="424" ht="21" customHeight="1"/>
    <row r="425" ht="21" customHeight="1"/>
    <row r="426" ht="21" customHeight="1"/>
    <row r="427" ht="21" customHeight="1"/>
    <row r="428" ht="21" customHeight="1"/>
    <row r="429" ht="21" customHeight="1"/>
    <row r="430" ht="21" customHeight="1"/>
    <row r="431" ht="21" customHeight="1"/>
    <row r="432" ht="21" customHeight="1"/>
    <row r="433" ht="21" customHeight="1"/>
    <row r="434" ht="21" customHeight="1"/>
    <row r="435" ht="21" customHeight="1"/>
    <row r="436" ht="21" customHeight="1"/>
    <row r="437" ht="21" customHeight="1"/>
    <row r="438" ht="21" customHeight="1"/>
    <row r="439" ht="21" customHeight="1"/>
    <row r="440" ht="21" customHeight="1"/>
    <row r="441" ht="21" customHeight="1"/>
    <row r="442" ht="21" customHeight="1"/>
    <row r="443" ht="21" customHeight="1"/>
    <row r="444" ht="21" customHeight="1"/>
    <row r="445" ht="21" customHeight="1"/>
    <row r="446" ht="21" customHeight="1"/>
    <row r="447" ht="21" customHeight="1"/>
    <row r="448" ht="21" customHeight="1"/>
    <row r="449" ht="21" customHeight="1"/>
    <row r="450" ht="21" customHeight="1"/>
    <row r="451" ht="21" customHeight="1"/>
    <row r="452" ht="21" customHeight="1"/>
    <row r="453" ht="21" customHeight="1"/>
    <row r="454" ht="21" customHeight="1"/>
    <row r="455" ht="21" customHeight="1"/>
    <row r="456" ht="21" customHeight="1"/>
    <row r="457" ht="21" customHeight="1"/>
    <row r="458" ht="21" customHeight="1"/>
    <row r="459" ht="21" customHeight="1"/>
    <row r="460" ht="21" customHeight="1"/>
    <row r="461" ht="21" customHeight="1"/>
    <row r="462" ht="21" customHeight="1"/>
    <row r="463" ht="21" customHeight="1"/>
    <row r="464" ht="21" customHeight="1"/>
    <row r="465" ht="21" customHeight="1"/>
    <row r="466" ht="21" customHeight="1"/>
    <row r="467" ht="21" customHeight="1"/>
    <row r="468" ht="21" customHeight="1"/>
    <row r="469" ht="21" customHeight="1"/>
    <row r="470" ht="21" customHeight="1"/>
    <row r="471" ht="21" customHeight="1"/>
    <row r="472" ht="21" customHeight="1"/>
    <row r="473" ht="21" customHeight="1"/>
    <row r="474" ht="21" customHeight="1"/>
    <row r="475" ht="21" customHeight="1"/>
    <row r="476" ht="21" customHeight="1"/>
    <row r="477" ht="21" customHeight="1"/>
    <row r="478" ht="21" customHeight="1"/>
    <row r="479" ht="21" customHeight="1"/>
    <row r="480" ht="21" customHeight="1"/>
    <row r="481" ht="21" customHeight="1"/>
    <row r="482" ht="21" customHeight="1"/>
    <row r="483" ht="21" customHeight="1"/>
    <row r="484" ht="21" customHeight="1"/>
    <row r="485" ht="21" customHeight="1"/>
    <row r="486" ht="21" customHeight="1"/>
    <row r="487" ht="21" customHeight="1"/>
    <row r="488" ht="21" customHeight="1"/>
    <row r="489" ht="21" customHeight="1"/>
    <row r="490" ht="21" customHeight="1"/>
    <row r="491" ht="21" customHeight="1"/>
    <row r="492" ht="21" customHeight="1"/>
    <row r="493" ht="21" customHeight="1"/>
    <row r="494" ht="21" customHeight="1"/>
    <row r="495" ht="21" customHeight="1"/>
    <row r="496" ht="21" customHeight="1"/>
    <row r="497" ht="21" customHeight="1"/>
    <row r="498" ht="21" customHeight="1"/>
    <row r="499" ht="21" customHeight="1"/>
    <row r="500" ht="21" customHeight="1"/>
    <row r="501" ht="21" customHeight="1"/>
    <row r="502" ht="21" customHeight="1"/>
    <row r="503" ht="21" customHeight="1"/>
    <row r="504" ht="21" customHeight="1"/>
    <row r="505" ht="21" customHeight="1"/>
    <row r="506" ht="21" customHeight="1"/>
    <row r="507" ht="21" customHeight="1"/>
    <row r="508" ht="21" customHeight="1"/>
    <row r="509" ht="21" customHeight="1"/>
    <row r="510" ht="21" customHeight="1"/>
    <row r="511" ht="21" customHeight="1"/>
    <row r="512" ht="21" customHeight="1"/>
    <row r="513" ht="21" customHeight="1"/>
    <row r="514" ht="21" customHeight="1"/>
    <row r="515" ht="21" customHeight="1"/>
    <row r="516" ht="21" customHeight="1"/>
    <row r="517" ht="21" customHeight="1"/>
    <row r="518" ht="21" customHeight="1"/>
    <row r="519" ht="21" customHeight="1"/>
    <row r="520" ht="21" customHeight="1"/>
    <row r="521" ht="21" customHeight="1"/>
    <row r="522" ht="21" customHeight="1"/>
    <row r="523" ht="21" customHeight="1"/>
    <row r="524" ht="21" customHeight="1"/>
    <row r="525" ht="21" customHeight="1"/>
    <row r="526" ht="21" customHeight="1"/>
    <row r="527" ht="21" customHeight="1"/>
    <row r="528" ht="21" customHeight="1"/>
    <row r="529" ht="21" customHeight="1"/>
    <row r="530" ht="21" customHeight="1"/>
    <row r="531" ht="21" customHeight="1"/>
    <row r="532" ht="21" customHeight="1"/>
    <row r="533" ht="21" customHeight="1"/>
    <row r="534" ht="21" customHeight="1"/>
    <row r="535" ht="21" customHeight="1"/>
    <row r="536" ht="21" customHeight="1"/>
    <row r="537" ht="21" customHeight="1"/>
    <row r="538" ht="21" customHeight="1"/>
    <row r="539" ht="21" customHeight="1"/>
    <row r="540" ht="21" customHeight="1"/>
    <row r="541" ht="21" customHeight="1"/>
    <row r="542" ht="21" customHeight="1"/>
    <row r="543" ht="21" customHeight="1"/>
    <row r="544" ht="21" customHeight="1"/>
    <row r="545" ht="21" customHeight="1"/>
    <row r="546" ht="21" customHeight="1"/>
    <row r="547" ht="21" customHeight="1"/>
    <row r="548" ht="21" customHeight="1"/>
    <row r="549" ht="21" customHeight="1"/>
    <row r="550" ht="21" customHeight="1"/>
    <row r="551" ht="21" customHeight="1"/>
    <row r="552" ht="21" customHeight="1"/>
    <row r="553" ht="21" customHeight="1"/>
    <row r="554" ht="21" customHeight="1"/>
    <row r="555" ht="21" customHeight="1"/>
    <row r="556" ht="21" customHeight="1"/>
    <row r="557" ht="21" customHeight="1"/>
    <row r="558" ht="21" customHeight="1"/>
    <row r="559" ht="21" customHeight="1"/>
    <row r="560" ht="21" customHeight="1"/>
    <row r="561" ht="21" customHeight="1"/>
    <row r="562" ht="21" customHeight="1"/>
    <row r="563" ht="21" customHeight="1"/>
    <row r="564" ht="21" customHeight="1"/>
    <row r="565" ht="21" customHeight="1"/>
    <row r="566" ht="21" customHeight="1"/>
    <row r="567" ht="21" customHeight="1"/>
    <row r="568" ht="21" customHeight="1"/>
    <row r="569" ht="21" customHeight="1"/>
    <row r="570" ht="21" customHeight="1"/>
    <row r="571" ht="21" customHeight="1"/>
    <row r="572" ht="21" customHeight="1"/>
    <row r="573" ht="21" customHeight="1"/>
    <row r="574" ht="21" customHeight="1"/>
    <row r="575" ht="21" customHeight="1"/>
    <row r="576" ht="21" customHeight="1"/>
    <row r="577" ht="21" customHeight="1"/>
    <row r="578" ht="21" customHeight="1"/>
    <row r="579" ht="21" customHeight="1"/>
    <row r="580" ht="21" customHeight="1"/>
    <row r="581" ht="21" customHeight="1"/>
    <row r="582" ht="21" customHeight="1"/>
    <row r="583" ht="21" customHeight="1"/>
    <row r="584" ht="21" customHeight="1"/>
    <row r="585" ht="21" customHeight="1"/>
    <row r="586" ht="21" customHeight="1"/>
    <row r="587" ht="21" customHeight="1"/>
    <row r="588" ht="21" customHeight="1"/>
    <row r="589" ht="21" customHeight="1"/>
    <row r="590" ht="21" customHeight="1"/>
    <row r="591" ht="21" customHeight="1"/>
    <row r="592" ht="21" customHeight="1"/>
    <row r="593" ht="21" customHeight="1"/>
    <row r="594" ht="21" customHeight="1"/>
    <row r="595" ht="21" customHeight="1"/>
    <row r="596" ht="21" customHeight="1"/>
    <row r="597" ht="21" customHeight="1"/>
    <row r="598" ht="21" customHeight="1"/>
    <row r="599" ht="21" customHeight="1"/>
    <row r="600" ht="21" customHeight="1"/>
    <row r="601" ht="21" customHeight="1"/>
    <row r="602" ht="21" customHeight="1"/>
    <row r="603" ht="21" customHeight="1"/>
    <row r="604" ht="21" customHeight="1"/>
    <row r="605" ht="21" customHeight="1"/>
    <row r="606" ht="21" customHeight="1"/>
    <row r="607" ht="21" customHeight="1"/>
    <row r="608" ht="21" customHeight="1"/>
    <row r="609" ht="21" customHeight="1"/>
    <row r="610" ht="21" customHeight="1"/>
    <row r="611" ht="21" customHeight="1"/>
    <row r="612" ht="21" customHeight="1"/>
    <row r="613" ht="21" customHeight="1"/>
    <row r="614" ht="21" customHeight="1"/>
    <row r="615" ht="21" customHeight="1"/>
    <row r="616" ht="21" customHeight="1"/>
    <row r="617" ht="21" customHeight="1"/>
    <row r="618" ht="21" customHeight="1"/>
    <row r="619" ht="21" customHeight="1"/>
    <row r="620" ht="21" customHeight="1"/>
    <row r="621" ht="21" customHeight="1"/>
    <row r="622" ht="21" customHeight="1"/>
    <row r="623" ht="21" customHeight="1"/>
    <row r="624" ht="21" customHeight="1"/>
    <row r="625" ht="21" customHeight="1"/>
    <row r="626" ht="21" customHeight="1"/>
    <row r="627" ht="21" customHeight="1"/>
    <row r="628" ht="21" customHeight="1"/>
    <row r="629" ht="21" customHeight="1"/>
    <row r="630" ht="21" customHeight="1"/>
    <row r="631" ht="21" customHeight="1"/>
    <row r="632" ht="21" customHeight="1"/>
    <row r="633" ht="21" customHeight="1"/>
    <row r="634" ht="21" customHeight="1"/>
    <row r="635" ht="21" customHeight="1"/>
    <row r="636" ht="21" customHeight="1"/>
    <row r="637" ht="21" customHeight="1"/>
    <row r="638" ht="21" customHeight="1"/>
    <row r="639" ht="21" customHeight="1"/>
    <row r="640" ht="21" customHeight="1"/>
    <row r="641" ht="21" customHeight="1"/>
    <row r="642" ht="21" customHeight="1"/>
    <row r="643" ht="21" customHeight="1"/>
    <row r="644" ht="21" customHeight="1"/>
    <row r="645" ht="21" customHeight="1"/>
    <row r="646" ht="21" customHeight="1"/>
    <row r="647" ht="21" customHeight="1"/>
    <row r="648" ht="21" customHeight="1"/>
    <row r="649" ht="21" customHeight="1"/>
    <row r="650" ht="21" customHeight="1"/>
    <row r="651" ht="21" customHeight="1"/>
    <row r="652" ht="21" customHeight="1"/>
    <row r="653" ht="21" customHeight="1"/>
    <row r="654" ht="21" customHeight="1"/>
    <row r="655" ht="21" customHeight="1"/>
    <row r="656" ht="21" customHeight="1"/>
    <row r="657" ht="21" customHeight="1"/>
    <row r="658" ht="21" customHeight="1"/>
    <row r="659" ht="21" customHeight="1"/>
    <row r="660" ht="21" customHeight="1"/>
    <row r="661" ht="21" customHeight="1"/>
    <row r="662" ht="21" customHeight="1"/>
    <row r="663" ht="21" customHeight="1"/>
    <row r="664" ht="21" customHeight="1"/>
    <row r="665" ht="21" customHeight="1"/>
    <row r="666" ht="21" customHeight="1"/>
    <row r="667" ht="21" customHeight="1"/>
    <row r="668" ht="21" customHeight="1"/>
    <row r="669" ht="21" customHeight="1"/>
    <row r="670" ht="21" customHeight="1"/>
    <row r="671" ht="21" customHeight="1"/>
    <row r="672" ht="21" customHeight="1"/>
    <row r="673" ht="21" customHeight="1"/>
    <row r="674" ht="21" customHeight="1"/>
    <row r="675" ht="21" customHeight="1"/>
    <row r="676" ht="21" customHeight="1"/>
    <row r="677" ht="21" customHeight="1"/>
    <row r="678" ht="21" customHeight="1"/>
    <row r="679" ht="21" customHeight="1"/>
    <row r="680" ht="21" customHeight="1"/>
    <row r="681" ht="21" customHeight="1"/>
    <row r="682" ht="21" customHeight="1"/>
    <row r="683" ht="21" customHeight="1"/>
    <row r="684" ht="21" customHeight="1"/>
    <row r="685" ht="21" customHeight="1"/>
    <row r="686" ht="21" customHeight="1"/>
    <row r="687" ht="21" customHeight="1"/>
    <row r="688" ht="21" customHeight="1"/>
    <row r="689" ht="21" customHeight="1"/>
    <row r="690" ht="21" customHeight="1"/>
    <row r="691" ht="21" customHeight="1"/>
    <row r="692" ht="21" customHeight="1"/>
    <row r="693" ht="21" customHeight="1"/>
    <row r="694" ht="21" customHeight="1"/>
    <row r="695" ht="21" customHeight="1"/>
    <row r="696" ht="21" customHeight="1"/>
    <row r="697" ht="21" customHeight="1"/>
    <row r="698" ht="21" customHeight="1"/>
    <row r="699" ht="21" customHeight="1"/>
    <row r="700" ht="21" customHeight="1"/>
    <row r="701" ht="21" customHeight="1"/>
    <row r="702" ht="21" customHeight="1"/>
    <row r="703" ht="21" customHeight="1"/>
    <row r="704" ht="21" customHeight="1"/>
    <row r="705" ht="21" customHeight="1"/>
    <row r="706" ht="21" customHeight="1"/>
    <row r="707" ht="21" customHeight="1"/>
    <row r="708" ht="21" customHeight="1"/>
    <row r="709" ht="21" customHeight="1"/>
    <row r="710" ht="21" customHeight="1"/>
    <row r="711" ht="21" customHeight="1"/>
    <row r="712" ht="21" customHeight="1"/>
    <row r="713" ht="21" customHeight="1"/>
    <row r="714" ht="21" customHeight="1"/>
    <row r="715" ht="21" customHeight="1"/>
    <row r="716" ht="21" customHeight="1"/>
    <row r="717" ht="21" customHeight="1"/>
    <row r="718" ht="21" customHeight="1"/>
    <row r="719" ht="21" customHeight="1"/>
    <row r="720" ht="21" customHeight="1"/>
    <row r="721" ht="21" customHeight="1"/>
    <row r="722" ht="21" customHeight="1"/>
    <row r="723" ht="21" customHeight="1"/>
    <row r="724" ht="21" customHeight="1"/>
    <row r="725" ht="21" customHeight="1"/>
    <row r="726" ht="21" customHeight="1"/>
    <row r="727" ht="21" customHeight="1"/>
    <row r="728" ht="21" customHeight="1"/>
    <row r="729" ht="21" customHeight="1"/>
    <row r="730" ht="21" customHeight="1"/>
    <row r="731" ht="21" customHeight="1"/>
    <row r="732" ht="21" customHeight="1"/>
    <row r="733" ht="21" customHeight="1"/>
    <row r="734" ht="21" customHeight="1"/>
    <row r="735" ht="21" customHeight="1"/>
    <row r="736" ht="21" customHeight="1"/>
    <row r="737" ht="21" customHeight="1"/>
    <row r="738" ht="21" customHeight="1"/>
    <row r="739" ht="21" customHeight="1"/>
    <row r="740" ht="21" customHeight="1"/>
    <row r="741" ht="21" customHeight="1"/>
    <row r="742" ht="21" customHeight="1"/>
    <row r="743" ht="21" customHeight="1"/>
    <row r="744" ht="21" customHeight="1"/>
    <row r="745" ht="21" customHeight="1"/>
    <row r="746" ht="21" customHeight="1"/>
    <row r="747" ht="21" customHeight="1"/>
    <row r="748" ht="21" customHeight="1"/>
    <row r="749" ht="21" customHeight="1"/>
    <row r="750" ht="21" customHeight="1"/>
    <row r="751" ht="21" customHeight="1"/>
    <row r="752" ht="21" customHeight="1"/>
    <row r="753" ht="21" customHeight="1"/>
    <row r="754" ht="21" customHeight="1"/>
    <row r="755" ht="21" customHeight="1"/>
    <row r="756" ht="21" customHeight="1"/>
    <row r="757" ht="21" customHeight="1"/>
    <row r="758" ht="21" customHeight="1"/>
    <row r="759" ht="21" customHeight="1"/>
    <row r="760" ht="21" customHeight="1"/>
    <row r="761" ht="21" customHeight="1"/>
    <row r="762" ht="21" customHeight="1"/>
    <row r="763" ht="21" customHeight="1"/>
    <row r="764" ht="21" customHeight="1"/>
    <row r="765" ht="21" customHeight="1"/>
    <row r="766" ht="21" customHeight="1"/>
    <row r="767" ht="21" customHeight="1"/>
    <row r="768" ht="21" customHeight="1"/>
    <row r="769" ht="21" customHeight="1"/>
    <row r="770" ht="21" customHeight="1"/>
    <row r="771" ht="21" customHeight="1"/>
    <row r="772" ht="21" customHeight="1"/>
    <row r="773" ht="21" customHeight="1"/>
    <row r="774" ht="21" customHeight="1"/>
    <row r="775" ht="21" customHeight="1"/>
    <row r="776" ht="21" customHeight="1"/>
    <row r="777" ht="21" customHeight="1"/>
    <row r="778" ht="21" customHeight="1"/>
    <row r="779" ht="21" customHeight="1"/>
    <row r="780" ht="21" customHeight="1"/>
    <row r="781" ht="21" customHeight="1"/>
    <row r="782" ht="21" customHeight="1"/>
    <row r="783" ht="21" customHeight="1"/>
    <row r="784" ht="21" customHeight="1"/>
    <row r="785" ht="21" customHeight="1"/>
    <row r="786" ht="21" customHeight="1"/>
    <row r="787" ht="21" customHeight="1"/>
    <row r="788" ht="21" customHeight="1"/>
    <row r="789" ht="21" customHeight="1"/>
    <row r="790" ht="21" customHeight="1"/>
    <row r="791" ht="21" customHeight="1"/>
    <row r="792" ht="21" customHeight="1"/>
    <row r="793" ht="21" customHeight="1"/>
    <row r="794" ht="21" customHeight="1"/>
    <row r="795" ht="21" customHeight="1"/>
    <row r="796" ht="21" customHeight="1"/>
    <row r="797" ht="21" customHeight="1"/>
    <row r="798" ht="21" customHeight="1"/>
    <row r="799" ht="21" customHeight="1"/>
    <row r="800" ht="21" customHeight="1"/>
    <row r="801" ht="21" customHeight="1"/>
    <row r="802" ht="21" customHeight="1"/>
    <row r="803" ht="21" customHeight="1"/>
    <row r="804" ht="21" customHeight="1"/>
    <row r="805" ht="21" customHeight="1"/>
    <row r="806" ht="21" customHeight="1"/>
    <row r="807" ht="21" customHeight="1"/>
    <row r="808" ht="21" customHeight="1"/>
    <row r="809" ht="21" customHeight="1"/>
    <row r="810" ht="21" customHeight="1"/>
    <row r="811" ht="21" customHeight="1"/>
    <row r="812" ht="21" customHeight="1"/>
    <row r="813" ht="21" customHeight="1"/>
    <row r="814" ht="21" customHeight="1"/>
    <row r="815" ht="21" customHeight="1"/>
    <row r="816" ht="21" customHeight="1"/>
    <row r="817" ht="21" customHeight="1"/>
    <row r="818" ht="21" customHeight="1"/>
    <row r="819" ht="21" customHeight="1"/>
    <row r="820" ht="21" customHeight="1"/>
    <row r="821" ht="21" customHeight="1"/>
    <row r="822" ht="21" customHeight="1"/>
    <row r="823" ht="21" customHeight="1"/>
    <row r="824" ht="21" customHeight="1"/>
    <row r="825" ht="21" customHeight="1"/>
    <row r="826" ht="21" customHeight="1"/>
    <row r="827" ht="21" customHeight="1"/>
    <row r="828" ht="21" customHeight="1"/>
    <row r="829" ht="21" customHeight="1"/>
    <row r="830" ht="21" customHeight="1"/>
    <row r="831" ht="21" customHeight="1"/>
    <row r="832" ht="21" customHeight="1"/>
    <row r="833" ht="21" customHeight="1"/>
    <row r="834" ht="21" customHeight="1"/>
    <row r="835" ht="21" customHeight="1"/>
    <row r="836" ht="21" customHeight="1"/>
    <row r="837" ht="21" customHeight="1"/>
    <row r="838" ht="21" customHeight="1"/>
    <row r="839" ht="21" customHeight="1"/>
    <row r="840" ht="21" customHeight="1"/>
    <row r="841" ht="21" customHeight="1"/>
    <row r="842" ht="21" customHeight="1"/>
    <row r="843" ht="21" customHeight="1"/>
    <row r="844" ht="21" customHeight="1"/>
    <row r="845" ht="21" customHeight="1"/>
    <row r="846" ht="21" customHeight="1"/>
    <row r="847" ht="21" customHeight="1"/>
    <row r="848" ht="21" customHeight="1"/>
    <row r="849" ht="21" customHeight="1"/>
    <row r="850" ht="21" customHeight="1"/>
    <row r="851" ht="21" customHeight="1"/>
    <row r="852" ht="21" customHeight="1"/>
    <row r="853" ht="21" customHeight="1"/>
    <row r="854" ht="21" customHeight="1"/>
    <row r="855" ht="21" customHeight="1"/>
    <row r="856" ht="21" customHeight="1"/>
    <row r="857" ht="21" customHeight="1"/>
    <row r="858" ht="21" customHeight="1"/>
    <row r="859" ht="21" customHeight="1"/>
    <row r="860" ht="21" customHeight="1"/>
    <row r="861" ht="21" customHeight="1"/>
    <row r="862" ht="21" customHeight="1"/>
    <row r="863" ht="21" customHeight="1"/>
    <row r="864" ht="21" customHeight="1"/>
    <row r="865" ht="21" customHeight="1"/>
    <row r="866" ht="21" customHeight="1"/>
    <row r="867" ht="21" customHeight="1"/>
    <row r="868" ht="21" customHeight="1"/>
    <row r="869" ht="21" customHeight="1"/>
    <row r="870" ht="21" customHeight="1"/>
    <row r="871" ht="21" customHeight="1"/>
    <row r="872" ht="21" customHeight="1"/>
    <row r="873" ht="21" customHeight="1"/>
    <row r="874" ht="21" customHeight="1"/>
    <row r="875" ht="21" customHeight="1"/>
    <row r="876" ht="21" customHeight="1"/>
    <row r="877" ht="21" customHeight="1"/>
    <row r="878" ht="21" customHeight="1"/>
    <row r="879" ht="21" customHeight="1"/>
    <row r="880" ht="21" customHeight="1"/>
    <row r="881" ht="21" customHeight="1"/>
    <row r="882" ht="21" customHeight="1"/>
    <row r="883" ht="21" customHeight="1"/>
    <row r="884" ht="21" customHeight="1"/>
    <row r="885" ht="21" customHeight="1"/>
    <row r="886" ht="21" customHeight="1"/>
    <row r="887" ht="21" customHeight="1"/>
    <row r="888" ht="21" customHeight="1"/>
    <row r="889" ht="21" customHeight="1"/>
    <row r="890" ht="21" customHeight="1"/>
    <row r="891" ht="21" customHeight="1"/>
    <row r="892" ht="21" customHeight="1"/>
    <row r="893" ht="21" customHeight="1"/>
    <row r="894" ht="21" customHeight="1"/>
    <row r="895" ht="21" customHeight="1"/>
    <row r="896" ht="21" customHeight="1"/>
    <row r="897" ht="21" customHeight="1"/>
    <row r="898" ht="21" customHeight="1"/>
    <row r="899" ht="21" customHeight="1"/>
    <row r="900" ht="21" customHeight="1"/>
    <row r="901" ht="21" customHeight="1"/>
    <row r="902" ht="21" customHeight="1"/>
    <row r="903" ht="21" customHeight="1"/>
    <row r="904" ht="21" customHeight="1"/>
    <row r="905" ht="21" customHeight="1"/>
    <row r="906" ht="21" customHeight="1"/>
    <row r="907" ht="21" customHeight="1"/>
    <row r="908" ht="21" customHeight="1"/>
    <row r="909" ht="21" customHeight="1"/>
    <row r="910" ht="21" customHeight="1"/>
    <row r="911" ht="21" customHeight="1"/>
    <row r="912" ht="21" customHeight="1"/>
    <row r="913" ht="21" customHeight="1"/>
    <row r="914" ht="21" customHeight="1"/>
    <row r="915" ht="21" customHeight="1"/>
    <row r="916" ht="21" customHeight="1"/>
    <row r="917" ht="21" customHeight="1"/>
    <row r="918" ht="21" customHeight="1"/>
    <row r="919" ht="21" customHeight="1"/>
    <row r="920" ht="21" customHeight="1"/>
    <row r="921" ht="21" customHeight="1"/>
    <row r="922" ht="21" customHeight="1"/>
    <row r="923" ht="21" customHeight="1"/>
    <row r="924" ht="21" customHeight="1"/>
    <row r="925" ht="21" customHeight="1"/>
    <row r="926" ht="21" customHeight="1"/>
    <row r="927" ht="21" customHeight="1"/>
    <row r="928" ht="21" customHeight="1"/>
    <row r="929" ht="21" customHeight="1"/>
    <row r="930" ht="21" customHeight="1"/>
    <row r="931" ht="21" customHeight="1"/>
    <row r="932" ht="21" customHeight="1"/>
    <row r="933" ht="21" customHeight="1"/>
    <row r="934" ht="21" customHeight="1"/>
    <row r="935" ht="21" customHeight="1"/>
    <row r="936" ht="21" customHeight="1"/>
    <row r="937" ht="21" customHeight="1"/>
    <row r="938" ht="21" customHeight="1"/>
    <row r="939" ht="21" customHeight="1"/>
    <row r="940" ht="21" customHeight="1"/>
    <row r="941" ht="21" customHeight="1"/>
    <row r="942" ht="21" customHeight="1"/>
    <row r="943" ht="21" customHeight="1"/>
    <row r="944" ht="21" customHeight="1"/>
    <row r="945" ht="21" customHeight="1"/>
    <row r="946" ht="21" customHeight="1"/>
    <row r="947" ht="21" customHeight="1"/>
    <row r="948" ht="21" customHeight="1"/>
    <row r="949" ht="21" customHeight="1"/>
    <row r="950" ht="21" customHeight="1"/>
    <row r="951" ht="21" customHeight="1"/>
    <row r="952" ht="21" customHeight="1"/>
    <row r="953" ht="21" customHeight="1"/>
    <row r="954" ht="21" customHeight="1"/>
    <row r="955" ht="21" customHeight="1"/>
    <row r="956" ht="21" customHeight="1"/>
    <row r="957" ht="21" customHeight="1"/>
    <row r="958" ht="21" customHeight="1"/>
    <row r="959" ht="21" customHeight="1"/>
    <row r="960" ht="21" customHeight="1"/>
    <row r="961" ht="21" customHeight="1"/>
    <row r="962" ht="21" customHeight="1"/>
    <row r="963" ht="21" customHeight="1"/>
    <row r="964" ht="21" customHeight="1"/>
    <row r="965" ht="21" customHeight="1"/>
    <row r="966" ht="21" customHeight="1"/>
    <row r="967" ht="21" customHeight="1"/>
    <row r="968" ht="21" customHeight="1"/>
    <row r="969" ht="21" customHeight="1"/>
    <row r="970" ht="21" customHeight="1"/>
    <row r="971" ht="21" customHeight="1"/>
    <row r="972" ht="21" customHeight="1"/>
    <row r="973" ht="21" customHeight="1"/>
    <row r="974" ht="21" customHeight="1"/>
    <row r="975" ht="21" customHeight="1"/>
    <row r="976" ht="21" customHeight="1"/>
    <row r="977" ht="21" customHeight="1"/>
    <row r="978" ht="21" customHeight="1"/>
    <row r="979" ht="21" customHeight="1"/>
    <row r="980" ht="21" customHeight="1"/>
    <row r="981" ht="21" customHeight="1"/>
    <row r="982" ht="21" customHeight="1"/>
    <row r="983" ht="21" customHeight="1"/>
    <row r="984" ht="21" customHeight="1"/>
    <row r="985" ht="21" customHeight="1"/>
    <row r="986" ht="21" customHeight="1"/>
    <row r="987" ht="21" customHeight="1"/>
    <row r="988" ht="21" customHeight="1"/>
    <row r="989" ht="21" customHeight="1"/>
    <row r="990" ht="21" customHeight="1"/>
    <row r="991" ht="21" customHeight="1"/>
    <row r="992" ht="21" customHeight="1"/>
    <row r="993" ht="21" customHeight="1"/>
    <row r="994" ht="21" customHeight="1"/>
    <row r="995" ht="21" customHeight="1"/>
    <row r="996" ht="21" customHeight="1"/>
    <row r="997" ht="21" customHeight="1"/>
    <row r="998" ht="21" customHeight="1"/>
    <row r="999" ht="21" customHeight="1"/>
  </sheetData>
  <mergeCells count="1">
    <mergeCell ref="A40:E40"/>
  </mergeCells>
  <conditionalFormatting sqref="D2:D38">
    <cfRule type="expression" dxfId="0" priority="1">
      <formula>D2="Review"</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999"/>
  <sheetViews>
    <sheetView topLeftCell="A25" workbookViewId="0">
      <selection activeCell="D33" sqref="D33"/>
    </sheetView>
  </sheetViews>
  <sheetFormatPr baseColWidth="10" defaultColWidth="12.6640625" defaultRowHeight="15"/>
  <cols>
    <col min="1" max="1" width="20" customWidth="1"/>
    <col min="2" max="2" width="22" customWidth="1"/>
    <col min="3" max="3" width="46" customWidth="1"/>
    <col min="4" max="4" width="52" customWidth="1"/>
    <col min="5" max="26" width="8.6640625" customWidth="1"/>
  </cols>
  <sheetData>
    <row r="1" spans="1:4" ht="22.25" customHeight="1">
      <c r="A1" s="37" t="s">
        <v>647</v>
      </c>
      <c r="B1" s="38"/>
      <c r="C1" s="38"/>
      <c r="D1" s="38"/>
    </row>
    <row r="2" spans="1:4" ht="20" customHeight="1">
      <c r="A2" s="39" t="s">
        <v>648</v>
      </c>
      <c r="B2" s="39"/>
      <c r="C2" s="39"/>
      <c r="D2" s="39"/>
    </row>
    <row r="3" spans="1:4" ht="20" customHeight="1">
      <c r="A3" s="14" t="s">
        <v>649</v>
      </c>
      <c r="B3" s="15" t="s">
        <v>650</v>
      </c>
      <c r="C3" s="15" t="s">
        <v>4</v>
      </c>
      <c r="D3" s="16" t="s">
        <v>651</v>
      </c>
    </row>
    <row r="4" spans="1:4" ht="20" customHeight="1">
      <c r="A4" s="17" t="s">
        <v>652</v>
      </c>
      <c r="B4" s="18" t="s">
        <v>653</v>
      </c>
      <c r="C4" s="26" t="s">
        <v>654</v>
      </c>
      <c r="D4" s="19" t="s">
        <v>655</v>
      </c>
    </row>
    <row r="5" spans="1:4" ht="20" customHeight="1">
      <c r="A5" s="17" t="s">
        <v>652</v>
      </c>
      <c r="B5" s="18" t="s">
        <v>656</v>
      </c>
      <c r="C5" s="26" t="s">
        <v>657</v>
      </c>
      <c r="D5" s="19" t="s">
        <v>658</v>
      </c>
    </row>
    <row r="6" spans="1:4" ht="20" customHeight="1">
      <c r="A6" s="17" t="s">
        <v>652</v>
      </c>
      <c r="B6" s="18" t="s">
        <v>659</v>
      </c>
      <c r="C6" s="26" t="s">
        <v>660</v>
      </c>
      <c r="D6" s="19" t="s">
        <v>661</v>
      </c>
    </row>
    <row r="7" spans="1:4" ht="20" customHeight="1">
      <c r="A7" s="17" t="s">
        <v>652</v>
      </c>
      <c r="B7" s="18" t="s">
        <v>662</v>
      </c>
      <c r="C7" s="26" t="s">
        <v>663</v>
      </c>
      <c r="D7" s="19" t="s">
        <v>664</v>
      </c>
    </row>
    <row r="8" spans="1:4" ht="20" customHeight="1">
      <c r="A8" s="17" t="s">
        <v>652</v>
      </c>
      <c r="B8" s="18" t="s">
        <v>665</v>
      </c>
      <c r="C8" s="26" t="s">
        <v>50</v>
      </c>
      <c r="D8" s="19"/>
    </row>
    <row r="9" spans="1:4" ht="20" customHeight="1">
      <c r="A9" s="17" t="s">
        <v>652</v>
      </c>
      <c r="B9" s="18" t="s">
        <v>666</v>
      </c>
      <c r="C9" s="26" t="s">
        <v>667</v>
      </c>
      <c r="D9" s="19"/>
    </row>
    <row r="10" spans="1:4" ht="20" customHeight="1">
      <c r="A10" s="17" t="s">
        <v>652</v>
      </c>
      <c r="B10" s="18" t="s">
        <v>668</v>
      </c>
      <c r="C10" s="26" t="s">
        <v>669</v>
      </c>
      <c r="D10" s="19"/>
    </row>
    <row r="11" spans="1:4" ht="20" customHeight="1">
      <c r="A11" s="17" t="s">
        <v>652</v>
      </c>
      <c r="B11" s="18" t="s">
        <v>670</v>
      </c>
      <c r="C11" s="26" t="s">
        <v>671</v>
      </c>
      <c r="D11" s="19"/>
    </row>
    <row r="12" spans="1:4" ht="20" customHeight="1">
      <c r="A12" s="17" t="s">
        <v>652</v>
      </c>
      <c r="B12" s="18" t="s">
        <v>672</v>
      </c>
      <c r="C12" s="26" t="s">
        <v>673</v>
      </c>
      <c r="D12" s="19"/>
    </row>
    <row r="13" spans="1:4" ht="20" customHeight="1">
      <c r="A13" s="17" t="s">
        <v>652</v>
      </c>
      <c r="B13" s="18" t="s">
        <v>674</v>
      </c>
      <c r="C13" s="26" t="s">
        <v>675</v>
      </c>
      <c r="D13" s="19"/>
    </row>
    <row r="14" spans="1:4" ht="20" customHeight="1">
      <c r="A14" s="17" t="s">
        <v>652</v>
      </c>
      <c r="B14" s="18" t="s">
        <v>676</v>
      </c>
      <c r="C14" s="26" t="s">
        <v>677</v>
      </c>
      <c r="D14" s="19" t="s">
        <v>678</v>
      </c>
    </row>
    <row r="15" spans="1:4" ht="20" customHeight="1">
      <c r="A15" s="17" t="s">
        <v>652</v>
      </c>
      <c r="B15" s="18" t="s">
        <v>679</v>
      </c>
      <c r="C15" s="26" t="s">
        <v>680</v>
      </c>
      <c r="D15" s="19" t="s">
        <v>681</v>
      </c>
    </row>
    <row r="16" spans="1:4" ht="20" customHeight="1">
      <c r="A16" s="17" t="s">
        <v>652</v>
      </c>
      <c r="B16" s="18" t="s">
        <v>682</v>
      </c>
      <c r="C16" s="26" t="s">
        <v>683</v>
      </c>
      <c r="D16" s="19" t="s">
        <v>684</v>
      </c>
    </row>
    <row r="17" spans="1:4" ht="20" customHeight="1">
      <c r="A17" s="17" t="s">
        <v>652</v>
      </c>
      <c r="B17" s="18" t="s">
        <v>685</v>
      </c>
      <c r="C17" s="26" t="s">
        <v>686</v>
      </c>
      <c r="D17" s="19"/>
    </row>
    <row r="18" spans="1:4" ht="20" customHeight="1">
      <c r="A18" s="17" t="s">
        <v>652</v>
      </c>
      <c r="B18" s="18" t="s">
        <v>687</v>
      </c>
      <c r="C18" s="26" t="s">
        <v>688</v>
      </c>
      <c r="D18" s="19"/>
    </row>
    <row r="19" spans="1:4" ht="20" customHeight="1">
      <c r="A19" s="17" t="s">
        <v>652</v>
      </c>
      <c r="B19" s="18" t="s">
        <v>689</v>
      </c>
      <c r="C19" s="26" t="s">
        <v>690</v>
      </c>
      <c r="D19" s="19"/>
    </row>
    <row r="20" spans="1:4" ht="20" customHeight="1">
      <c r="A20" s="17" t="s">
        <v>652</v>
      </c>
      <c r="B20" s="18" t="s">
        <v>691</v>
      </c>
      <c r="C20" s="26" t="s">
        <v>692</v>
      </c>
      <c r="D20" s="19" t="s">
        <v>693</v>
      </c>
    </row>
    <row r="21" spans="1:4" ht="35.25" customHeight="1">
      <c r="A21" s="17" t="s">
        <v>694</v>
      </c>
      <c r="B21" s="18" t="s">
        <v>656</v>
      </c>
      <c r="C21" s="26" t="s">
        <v>657</v>
      </c>
      <c r="D21" s="19" t="s">
        <v>695</v>
      </c>
    </row>
    <row r="22" spans="1:4" ht="20" customHeight="1">
      <c r="A22" s="17" t="s">
        <v>694</v>
      </c>
      <c r="B22" s="18" t="s">
        <v>659</v>
      </c>
      <c r="C22" s="26" t="s">
        <v>660</v>
      </c>
      <c r="D22" s="19" t="s">
        <v>696</v>
      </c>
    </row>
    <row r="23" spans="1:4" ht="20" customHeight="1">
      <c r="A23" s="17" t="s">
        <v>697</v>
      </c>
      <c r="B23" s="18" t="s">
        <v>698</v>
      </c>
      <c r="C23" s="26" t="s">
        <v>654</v>
      </c>
      <c r="D23" s="19" t="s">
        <v>699</v>
      </c>
    </row>
    <row r="24" spans="1:4" ht="20" customHeight="1">
      <c r="A24" s="17" t="s">
        <v>697</v>
      </c>
      <c r="B24" s="18" t="s">
        <v>700</v>
      </c>
      <c r="C24" s="26" t="s">
        <v>701</v>
      </c>
      <c r="D24" s="19" t="s">
        <v>702</v>
      </c>
    </row>
    <row r="25" spans="1:4" ht="20" customHeight="1">
      <c r="A25" s="17" t="s">
        <v>697</v>
      </c>
      <c r="B25" s="18" t="s">
        <v>703</v>
      </c>
      <c r="C25" s="26" t="s">
        <v>704</v>
      </c>
      <c r="D25" s="19" t="s">
        <v>699</v>
      </c>
    </row>
    <row r="26" spans="1:4" ht="20" customHeight="1">
      <c r="A26" s="17" t="s">
        <v>697</v>
      </c>
      <c r="B26" s="18" t="s">
        <v>705</v>
      </c>
      <c r="C26" s="26" t="s">
        <v>706</v>
      </c>
      <c r="D26" s="19"/>
    </row>
    <row r="27" spans="1:4" ht="20" customHeight="1">
      <c r="A27" s="17" t="s">
        <v>697</v>
      </c>
      <c r="B27" s="18" t="s">
        <v>707</v>
      </c>
      <c r="C27" s="26" t="s">
        <v>708</v>
      </c>
      <c r="D27" s="19"/>
    </row>
    <row r="28" spans="1:4" ht="20" customHeight="1">
      <c r="A28" s="17" t="s">
        <v>709</v>
      </c>
      <c r="B28" s="18" t="s">
        <v>710</v>
      </c>
      <c r="C28" s="26" t="s">
        <v>711</v>
      </c>
      <c r="D28" s="19" t="s">
        <v>712</v>
      </c>
    </row>
    <row r="29" spans="1:4" ht="20" customHeight="1">
      <c r="A29" s="17" t="s">
        <v>713</v>
      </c>
      <c r="B29" s="18" t="s">
        <v>653</v>
      </c>
      <c r="C29" s="26" t="s">
        <v>654</v>
      </c>
      <c r="D29" s="19" t="s">
        <v>714</v>
      </c>
    </row>
    <row r="30" spans="1:4" ht="20" customHeight="1">
      <c r="A30" s="17" t="s">
        <v>713</v>
      </c>
      <c r="B30" s="18" t="s">
        <v>656</v>
      </c>
      <c r="C30" s="26" t="s">
        <v>715</v>
      </c>
      <c r="D30" s="19"/>
    </row>
    <row r="31" spans="1:4" ht="20" customHeight="1">
      <c r="A31" s="17" t="s">
        <v>713</v>
      </c>
      <c r="B31" s="18" t="s">
        <v>716</v>
      </c>
      <c r="C31" s="26" t="s">
        <v>717</v>
      </c>
      <c r="D31" s="19"/>
    </row>
    <row r="32" spans="1:4" ht="20" customHeight="1">
      <c r="A32" s="20" t="s">
        <v>713</v>
      </c>
      <c r="B32" s="21" t="s">
        <v>718</v>
      </c>
      <c r="C32" s="27" t="s">
        <v>719</v>
      </c>
      <c r="D32" s="21"/>
    </row>
    <row r="33" spans="1:4" ht="20" customHeight="1">
      <c r="A33" s="20" t="s">
        <v>720</v>
      </c>
      <c r="B33" s="21" t="s">
        <v>721</v>
      </c>
      <c r="C33" s="27" t="s">
        <v>722</v>
      </c>
      <c r="D33" s="21" t="s">
        <v>723</v>
      </c>
    </row>
    <row r="34" spans="1:4" ht="20" customHeight="1">
      <c r="A34" s="40" t="s">
        <v>720</v>
      </c>
      <c r="B34" s="41" t="s">
        <v>724</v>
      </c>
      <c r="C34" s="42" t="s">
        <v>725</v>
      </c>
      <c r="D34" s="41" t="s">
        <v>723</v>
      </c>
    </row>
    <row r="35" spans="1:4" ht="20" customHeight="1">
      <c r="A35" s="20" t="s">
        <v>726</v>
      </c>
      <c r="B35" s="21" t="s">
        <v>653</v>
      </c>
      <c r="C35" s="27" t="s">
        <v>654</v>
      </c>
      <c r="D35" s="21" t="s">
        <v>727</v>
      </c>
    </row>
    <row r="36" spans="1:4" ht="20" customHeight="1">
      <c r="A36" s="20" t="s">
        <v>726</v>
      </c>
      <c r="B36" s="21" t="s">
        <v>656</v>
      </c>
      <c r="C36" s="27" t="s">
        <v>728</v>
      </c>
      <c r="D36" s="21"/>
    </row>
    <row r="37" spans="1:4" ht="20" customHeight="1">
      <c r="A37" s="20" t="s">
        <v>726</v>
      </c>
      <c r="B37" s="21" t="s">
        <v>729</v>
      </c>
      <c r="C37" s="27" t="s">
        <v>730</v>
      </c>
      <c r="D37" s="21"/>
    </row>
    <row r="38" spans="1:4" ht="20" customHeight="1">
      <c r="A38" s="23" t="s">
        <v>731</v>
      </c>
      <c r="B38" s="22" t="s">
        <v>732</v>
      </c>
      <c r="C38" s="28" t="s">
        <v>733</v>
      </c>
      <c r="D38" s="22" t="s">
        <v>734</v>
      </c>
    </row>
    <row r="39" spans="1:4" ht="20" customHeight="1">
      <c r="A39" s="23" t="s">
        <v>731</v>
      </c>
      <c r="B39" s="22" t="s">
        <v>735</v>
      </c>
      <c r="C39" s="28" t="s">
        <v>736</v>
      </c>
      <c r="D39" s="22" t="s">
        <v>737</v>
      </c>
    </row>
    <row r="40" spans="1:4" ht="20" customHeight="1">
      <c r="A40" s="23" t="s">
        <v>738</v>
      </c>
      <c r="B40" s="22" t="s">
        <v>739</v>
      </c>
      <c r="C40" s="28" t="s">
        <v>740</v>
      </c>
      <c r="D40" s="22" t="s">
        <v>741</v>
      </c>
    </row>
    <row r="41" spans="1:4" ht="20" customHeight="1">
      <c r="A41" s="23" t="s">
        <v>738</v>
      </c>
      <c r="B41" s="22" t="s">
        <v>742</v>
      </c>
      <c r="C41" s="28" t="s">
        <v>743</v>
      </c>
      <c r="D41" s="22" t="s">
        <v>744</v>
      </c>
    </row>
    <row r="42" spans="1:4" ht="20" customHeight="1">
      <c r="A42" s="23" t="s">
        <v>738</v>
      </c>
      <c r="B42" s="22" t="s">
        <v>745</v>
      </c>
      <c r="C42" s="28" t="s">
        <v>746</v>
      </c>
      <c r="D42" s="22" t="s">
        <v>747</v>
      </c>
    </row>
    <row r="43" spans="1:4" ht="20" customHeight="1">
      <c r="A43" s="23" t="s">
        <v>748</v>
      </c>
      <c r="B43" s="22" t="s">
        <v>653</v>
      </c>
      <c r="C43" s="28" t="s">
        <v>749</v>
      </c>
      <c r="D43" s="22" t="s">
        <v>750</v>
      </c>
    </row>
    <row r="44" spans="1:4" ht="20" customHeight="1">
      <c r="A44" s="23" t="s">
        <v>748</v>
      </c>
      <c r="B44" s="22" t="s">
        <v>656</v>
      </c>
      <c r="C44" s="28" t="s">
        <v>751</v>
      </c>
      <c r="D44" s="22" t="s">
        <v>752</v>
      </c>
    </row>
    <row r="45" spans="1:4" ht="20" customHeight="1">
      <c r="A45" s="23" t="s">
        <v>748</v>
      </c>
      <c r="B45" s="22" t="s">
        <v>659</v>
      </c>
      <c r="C45" s="28" t="s">
        <v>753</v>
      </c>
      <c r="D45" s="22"/>
    </row>
    <row r="46" spans="1:4" ht="20" customHeight="1">
      <c r="A46" s="23" t="s">
        <v>748</v>
      </c>
      <c r="B46" s="22" t="s">
        <v>754</v>
      </c>
      <c r="C46" s="28" t="s">
        <v>755</v>
      </c>
      <c r="D46" s="22" t="s">
        <v>756</v>
      </c>
    </row>
    <row r="47" spans="1:4" ht="35.25" customHeight="1">
      <c r="A47" s="23" t="s">
        <v>748</v>
      </c>
      <c r="B47" s="22" t="s">
        <v>757</v>
      </c>
      <c r="C47" s="28" t="s">
        <v>758</v>
      </c>
      <c r="D47" s="22" t="s">
        <v>759</v>
      </c>
    </row>
    <row r="48" spans="1:4" ht="20" customHeight="1">
      <c r="A48" s="24" t="s">
        <v>760</v>
      </c>
      <c r="B48" s="25" t="s">
        <v>761</v>
      </c>
      <c r="C48" s="29" t="s">
        <v>762</v>
      </c>
      <c r="D48" s="25" t="s">
        <v>763</v>
      </c>
    </row>
    <row r="49" spans="1:4" ht="20" customHeight="1">
      <c r="A49" s="12"/>
      <c r="B49" s="12"/>
      <c r="C49" s="12"/>
      <c r="D49" s="12"/>
    </row>
    <row r="50" spans="1:4" ht="20" customHeight="1">
      <c r="A50" s="13" t="s">
        <v>764</v>
      </c>
      <c r="B50" s="13"/>
      <c r="C50" s="13"/>
      <c r="D50" s="13"/>
    </row>
    <row r="51" spans="1:4" ht="35.25" customHeight="1">
      <c r="A51" s="12" t="s">
        <v>50</v>
      </c>
      <c r="B51" s="12" t="s">
        <v>765</v>
      </c>
      <c r="C51" s="12" t="s">
        <v>766</v>
      </c>
      <c r="D51" s="12"/>
    </row>
    <row r="52" spans="1:4" ht="35.25" customHeight="1">
      <c r="A52" s="12" t="s">
        <v>52</v>
      </c>
      <c r="B52" s="12" t="s">
        <v>767</v>
      </c>
      <c r="C52" s="12" t="s">
        <v>768</v>
      </c>
      <c r="D52" s="12"/>
    </row>
    <row r="53" spans="1:4" ht="35.25" customHeight="1">
      <c r="A53" s="12" t="s">
        <v>54</v>
      </c>
      <c r="B53" s="12" t="s">
        <v>769</v>
      </c>
      <c r="C53" s="12" t="s">
        <v>770</v>
      </c>
      <c r="D53" s="12"/>
    </row>
    <row r="54" spans="1:4" ht="35.25" customHeight="1">
      <c r="A54" s="12" t="s">
        <v>56</v>
      </c>
      <c r="B54" s="12" t="s">
        <v>771</v>
      </c>
      <c r="C54" s="12" t="s">
        <v>772</v>
      </c>
      <c r="D54" s="12"/>
    </row>
    <row r="55" spans="1:4" ht="21" customHeight="1"/>
    <row r="56" spans="1:4" ht="21" customHeight="1"/>
    <row r="57" spans="1:4" ht="21" customHeight="1"/>
    <row r="58" spans="1:4" ht="21" customHeight="1"/>
    <row r="59" spans="1:4" ht="21" customHeight="1"/>
    <row r="60" spans="1:4" ht="21" customHeight="1"/>
    <row r="61" spans="1:4" ht="21" customHeight="1"/>
    <row r="62" spans="1:4" ht="21" customHeight="1"/>
    <row r="63" spans="1:4" ht="21" customHeight="1"/>
    <row r="64" spans="1: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row r="350" ht="21" customHeight="1"/>
    <row r="351" ht="21" customHeight="1"/>
    <row r="352" ht="21" customHeight="1"/>
    <row r="353" ht="21" customHeight="1"/>
    <row r="354" ht="21" customHeight="1"/>
    <row r="355" ht="21" customHeight="1"/>
    <row r="356" ht="21" customHeight="1"/>
    <row r="357" ht="21" customHeight="1"/>
    <row r="358" ht="21" customHeight="1"/>
    <row r="359" ht="21" customHeight="1"/>
    <row r="360" ht="21" customHeight="1"/>
    <row r="361" ht="21" customHeight="1"/>
    <row r="362" ht="21" customHeight="1"/>
    <row r="363" ht="21" customHeight="1"/>
    <row r="364" ht="21" customHeight="1"/>
    <row r="365" ht="21" customHeight="1"/>
    <row r="366" ht="21" customHeight="1"/>
    <row r="367" ht="21" customHeight="1"/>
    <row r="368" ht="21" customHeight="1"/>
    <row r="369" ht="21" customHeight="1"/>
    <row r="370" ht="21" customHeight="1"/>
    <row r="371" ht="21" customHeight="1"/>
    <row r="372" ht="21" customHeight="1"/>
    <row r="373" ht="21" customHeight="1"/>
    <row r="374" ht="21" customHeight="1"/>
    <row r="375" ht="21" customHeight="1"/>
    <row r="376" ht="21" customHeight="1"/>
    <row r="377" ht="21" customHeight="1"/>
    <row r="378" ht="21" customHeight="1"/>
    <row r="379" ht="21" customHeight="1"/>
    <row r="380" ht="21" customHeight="1"/>
    <row r="381" ht="21" customHeight="1"/>
    <row r="382" ht="21" customHeight="1"/>
    <row r="383" ht="21" customHeight="1"/>
    <row r="384" ht="21" customHeight="1"/>
    <row r="385" ht="21" customHeight="1"/>
    <row r="386" ht="21" customHeight="1"/>
    <row r="387" ht="21" customHeight="1"/>
    <row r="388" ht="21" customHeight="1"/>
    <row r="389" ht="21" customHeight="1"/>
    <row r="390" ht="21" customHeight="1"/>
    <row r="391" ht="21" customHeight="1"/>
    <row r="392" ht="21" customHeight="1"/>
    <row r="393" ht="21" customHeight="1"/>
    <row r="394" ht="21" customHeight="1"/>
    <row r="395" ht="21" customHeight="1"/>
    <row r="396" ht="21" customHeight="1"/>
    <row r="397" ht="21" customHeight="1"/>
    <row r="398" ht="21" customHeight="1"/>
    <row r="399" ht="21" customHeight="1"/>
    <row r="400" ht="21" customHeight="1"/>
    <row r="401" ht="21" customHeight="1"/>
    <row r="402" ht="21" customHeight="1"/>
    <row r="403" ht="21" customHeight="1"/>
    <row r="404" ht="21" customHeight="1"/>
    <row r="405" ht="21" customHeight="1"/>
    <row r="406" ht="21" customHeight="1"/>
    <row r="407" ht="21" customHeight="1"/>
    <row r="408" ht="21" customHeight="1"/>
    <row r="409" ht="21" customHeight="1"/>
    <row r="410" ht="21" customHeight="1"/>
    <row r="411" ht="21" customHeight="1"/>
    <row r="412" ht="21" customHeight="1"/>
    <row r="413" ht="21" customHeight="1"/>
    <row r="414" ht="21" customHeight="1"/>
    <row r="415" ht="21" customHeight="1"/>
    <row r="416" ht="21" customHeight="1"/>
    <row r="417" ht="21" customHeight="1"/>
    <row r="418" ht="21" customHeight="1"/>
    <row r="419" ht="21" customHeight="1"/>
    <row r="420" ht="21" customHeight="1"/>
    <row r="421" ht="21" customHeight="1"/>
    <row r="422" ht="21" customHeight="1"/>
    <row r="423" ht="21" customHeight="1"/>
    <row r="424" ht="21" customHeight="1"/>
    <row r="425" ht="21" customHeight="1"/>
    <row r="426" ht="21" customHeight="1"/>
    <row r="427" ht="21" customHeight="1"/>
    <row r="428" ht="21" customHeight="1"/>
    <row r="429" ht="21" customHeight="1"/>
    <row r="430" ht="21" customHeight="1"/>
    <row r="431" ht="21" customHeight="1"/>
    <row r="432" ht="21" customHeight="1"/>
    <row r="433" ht="21" customHeight="1"/>
    <row r="434" ht="21" customHeight="1"/>
    <row r="435" ht="21" customHeight="1"/>
    <row r="436" ht="21" customHeight="1"/>
    <row r="437" ht="21" customHeight="1"/>
    <row r="438" ht="21" customHeight="1"/>
    <row r="439" ht="21" customHeight="1"/>
    <row r="440" ht="21" customHeight="1"/>
    <row r="441" ht="21" customHeight="1"/>
    <row r="442" ht="21" customHeight="1"/>
    <row r="443" ht="21" customHeight="1"/>
    <row r="444" ht="21" customHeight="1"/>
    <row r="445" ht="21" customHeight="1"/>
    <row r="446" ht="21" customHeight="1"/>
    <row r="447" ht="21" customHeight="1"/>
    <row r="448" ht="21" customHeight="1"/>
    <row r="449" ht="21" customHeight="1"/>
    <row r="450" ht="21" customHeight="1"/>
    <row r="451" ht="21" customHeight="1"/>
    <row r="452" ht="21" customHeight="1"/>
    <row r="453" ht="21" customHeight="1"/>
    <row r="454" ht="21" customHeight="1"/>
    <row r="455" ht="21" customHeight="1"/>
    <row r="456" ht="21" customHeight="1"/>
    <row r="457" ht="21" customHeight="1"/>
    <row r="458" ht="21" customHeight="1"/>
    <row r="459" ht="21" customHeight="1"/>
    <row r="460" ht="21" customHeight="1"/>
    <row r="461" ht="21" customHeight="1"/>
    <row r="462" ht="21" customHeight="1"/>
    <row r="463" ht="21" customHeight="1"/>
    <row r="464" ht="21" customHeight="1"/>
    <row r="465" ht="21" customHeight="1"/>
    <row r="466" ht="21" customHeight="1"/>
    <row r="467" ht="21" customHeight="1"/>
    <row r="468" ht="21" customHeight="1"/>
    <row r="469" ht="21" customHeight="1"/>
    <row r="470" ht="21" customHeight="1"/>
    <row r="471" ht="21" customHeight="1"/>
    <row r="472" ht="21" customHeight="1"/>
    <row r="473" ht="21" customHeight="1"/>
    <row r="474" ht="21" customHeight="1"/>
    <row r="475" ht="21" customHeight="1"/>
    <row r="476" ht="21" customHeight="1"/>
    <row r="477" ht="21" customHeight="1"/>
    <row r="478" ht="21" customHeight="1"/>
    <row r="479" ht="21" customHeight="1"/>
    <row r="480" ht="21" customHeight="1"/>
    <row r="481" ht="21" customHeight="1"/>
    <row r="482" ht="21" customHeight="1"/>
    <row r="483" ht="21" customHeight="1"/>
    <row r="484" ht="21" customHeight="1"/>
    <row r="485" ht="21" customHeight="1"/>
    <row r="486" ht="21" customHeight="1"/>
    <row r="487" ht="21" customHeight="1"/>
    <row r="488" ht="21" customHeight="1"/>
    <row r="489" ht="21" customHeight="1"/>
    <row r="490" ht="21" customHeight="1"/>
    <row r="491" ht="21" customHeight="1"/>
    <row r="492" ht="21" customHeight="1"/>
    <row r="493" ht="21" customHeight="1"/>
    <row r="494" ht="21" customHeight="1"/>
    <row r="495" ht="21" customHeight="1"/>
    <row r="496" ht="21" customHeight="1"/>
    <row r="497" ht="21" customHeight="1"/>
    <row r="498" ht="21" customHeight="1"/>
    <row r="499" ht="21" customHeight="1"/>
    <row r="500" ht="21" customHeight="1"/>
    <row r="501" ht="21" customHeight="1"/>
    <row r="502" ht="21" customHeight="1"/>
    <row r="503" ht="21" customHeight="1"/>
    <row r="504" ht="21" customHeight="1"/>
    <row r="505" ht="21" customHeight="1"/>
    <row r="506" ht="21" customHeight="1"/>
    <row r="507" ht="21" customHeight="1"/>
    <row r="508" ht="21" customHeight="1"/>
    <row r="509" ht="21" customHeight="1"/>
    <row r="510" ht="21" customHeight="1"/>
    <row r="511" ht="21" customHeight="1"/>
    <row r="512" ht="21" customHeight="1"/>
    <row r="513" ht="21" customHeight="1"/>
    <row r="514" ht="21" customHeight="1"/>
    <row r="515" ht="21" customHeight="1"/>
    <row r="516" ht="21" customHeight="1"/>
    <row r="517" ht="21" customHeight="1"/>
    <row r="518" ht="21" customHeight="1"/>
    <row r="519" ht="21" customHeight="1"/>
    <row r="520" ht="21" customHeight="1"/>
    <row r="521" ht="21" customHeight="1"/>
    <row r="522" ht="21" customHeight="1"/>
    <row r="523" ht="21" customHeight="1"/>
    <row r="524" ht="21" customHeight="1"/>
    <row r="525" ht="21" customHeight="1"/>
    <row r="526" ht="21" customHeight="1"/>
    <row r="527" ht="21" customHeight="1"/>
    <row r="528" ht="21" customHeight="1"/>
    <row r="529" ht="21" customHeight="1"/>
    <row r="530" ht="21" customHeight="1"/>
    <row r="531" ht="21" customHeight="1"/>
    <row r="532" ht="21" customHeight="1"/>
    <row r="533" ht="21" customHeight="1"/>
    <row r="534" ht="21" customHeight="1"/>
    <row r="535" ht="21" customHeight="1"/>
    <row r="536" ht="21" customHeight="1"/>
    <row r="537" ht="21" customHeight="1"/>
    <row r="538" ht="21" customHeight="1"/>
    <row r="539" ht="21" customHeight="1"/>
    <row r="540" ht="21" customHeight="1"/>
    <row r="541" ht="21" customHeight="1"/>
    <row r="542" ht="21" customHeight="1"/>
    <row r="543" ht="21" customHeight="1"/>
    <row r="544" ht="21" customHeight="1"/>
    <row r="545" ht="21" customHeight="1"/>
    <row r="546" ht="21" customHeight="1"/>
    <row r="547" ht="21" customHeight="1"/>
    <row r="548" ht="21" customHeight="1"/>
    <row r="549" ht="21" customHeight="1"/>
    <row r="550" ht="21" customHeight="1"/>
    <row r="551" ht="21" customHeight="1"/>
    <row r="552" ht="21" customHeight="1"/>
    <row r="553" ht="21" customHeight="1"/>
    <row r="554" ht="21" customHeight="1"/>
    <row r="555" ht="21" customHeight="1"/>
    <row r="556" ht="21" customHeight="1"/>
    <row r="557" ht="21" customHeight="1"/>
    <row r="558" ht="21" customHeight="1"/>
    <row r="559" ht="21" customHeight="1"/>
    <row r="560" ht="21" customHeight="1"/>
    <row r="561" ht="21" customHeight="1"/>
    <row r="562" ht="21" customHeight="1"/>
    <row r="563" ht="21" customHeight="1"/>
    <row r="564" ht="21" customHeight="1"/>
    <row r="565" ht="21" customHeight="1"/>
    <row r="566" ht="21" customHeight="1"/>
    <row r="567" ht="21" customHeight="1"/>
    <row r="568" ht="21" customHeight="1"/>
    <row r="569" ht="21" customHeight="1"/>
    <row r="570" ht="21" customHeight="1"/>
    <row r="571" ht="21" customHeight="1"/>
    <row r="572" ht="21" customHeight="1"/>
    <row r="573" ht="21" customHeight="1"/>
    <row r="574" ht="21" customHeight="1"/>
    <row r="575" ht="21" customHeight="1"/>
    <row r="576" ht="21" customHeight="1"/>
    <row r="577" ht="21" customHeight="1"/>
    <row r="578" ht="21" customHeight="1"/>
    <row r="579" ht="21" customHeight="1"/>
    <row r="580" ht="21" customHeight="1"/>
    <row r="581" ht="21" customHeight="1"/>
    <row r="582" ht="21" customHeight="1"/>
    <row r="583" ht="21" customHeight="1"/>
    <row r="584" ht="21" customHeight="1"/>
    <row r="585" ht="21" customHeight="1"/>
    <row r="586" ht="21" customHeight="1"/>
    <row r="587" ht="21" customHeight="1"/>
    <row r="588" ht="21" customHeight="1"/>
    <row r="589" ht="21" customHeight="1"/>
    <row r="590" ht="21" customHeight="1"/>
    <row r="591" ht="21" customHeight="1"/>
    <row r="592" ht="21" customHeight="1"/>
    <row r="593" ht="21" customHeight="1"/>
    <row r="594" ht="21" customHeight="1"/>
    <row r="595" ht="21" customHeight="1"/>
    <row r="596" ht="21" customHeight="1"/>
    <row r="597" ht="21" customHeight="1"/>
    <row r="598" ht="21" customHeight="1"/>
    <row r="599" ht="21" customHeight="1"/>
    <row r="600" ht="21" customHeight="1"/>
    <row r="601" ht="21" customHeight="1"/>
    <row r="602" ht="21" customHeight="1"/>
    <row r="603" ht="21" customHeight="1"/>
    <row r="604" ht="21" customHeight="1"/>
    <row r="605" ht="21" customHeight="1"/>
    <row r="606" ht="21" customHeight="1"/>
    <row r="607" ht="21" customHeight="1"/>
    <row r="608" ht="21" customHeight="1"/>
    <row r="609" ht="21" customHeight="1"/>
    <row r="610" ht="21" customHeight="1"/>
    <row r="611" ht="21" customHeight="1"/>
    <row r="612" ht="21" customHeight="1"/>
    <row r="613" ht="21" customHeight="1"/>
    <row r="614" ht="21" customHeight="1"/>
    <row r="615" ht="21" customHeight="1"/>
    <row r="616" ht="21" customHeight="1"/>
    <row r="617" ht="21" customHeight="1"/>
    <row r="618" ht="21" customHeight="1"/>
    <row r="619" ht="21" customHeight="1"/>
    <row r="620" ht="21" customHeight="1"/>
    <row r="621" ht="21" customHeight="1"/>
    <row r="622" ht="21" customHeight="1"/>
    <row r="623" ht="21" customHeight="1"/>
    <row r="624" ht="21" customHeight="1"/>
    <row r="625" ht="21" customHeight="1"/>
    <row r="626" ht="21" customHeight="1"/>
    <row r="627" ht="21" customHeight="1"/>
    <row r="628" ht="21" customHeight="1"/>
    <row r="629" ht="21" customHeight="1"/>
    <row r="630" ht="21" customHeight="1"/>
    <row r="631" ht="21" customHeight="1"/>
    <row r="632" ht="21" customHeight="1"/>
    <row r="633" ht="21" customHeight="1"/>
    <row r="634" ht="21" customHeight="1"/>
    <row r="635" ht="21" customHeight="1"/>
    <row r="636" ht="21" customHeight="1"/>
    <row r="637" ht="21" customHeight="1"/>
    <row r="638" ht="21" customHeight="1"/>
    <row r="639" ht="21" customHeight="1"/>
    <row r="640" ht="21" customHeight="1"/>
    <row r="641" ht="21" customHeight="1"/>
    <row r="642" ht="21" customHeight="1"/>
    <row r="643" ht="21" customHeight="1"/>
    <row r="644" ht="21" customHeight="1"/>
    <row r="645" ht="21" customHeight="1"/>
    <row r="646" ht="21" customHeight="1"/>
    <row r="647" ht="21" customHeight="1"/>
    <row r="648" ht="21" customHeight="1"/>
    <row r="649" ht="21" customHeight="1"/>
    <row r="650" ht="21" customHeight="1"/>
    <row r="651" ht="21" customHeight="1"/>
    <row r="652" ht="21" customHeight="1"/>
    <row r="653" ht="21" customHeight="1"/>
    <row r="654" ht="21" customHeight="1"/>
    <row r="655" ht="21" customHeight="1"/>
    <row r="656" ht="21" customHeight="1"/>
    <row r="657" ht="21" customHeight="1"/>
    <row r="658" ht="21" customHeight="1"/>
    <row r="659" ht="21" customHeight="1"/>
    <row r="660" ht="21" customHeight="1"/>
    <row r="661" ht="21" customHeight="1"/>
    <row r="662" ht="21" customHeight="1"/>
    <row r="663" ht="21" customHeight="1"/>
    <row r="664" ht="21" customHeight="1"/>
    <row r="665" ht="21" customHeight="1"/>
    <row r="666" ht="21" customHeight="1"/>
    <row r="667" ht="21" customHeight="1"/>
    <row r="668" ht="21" customHeight="1"/>
    <row r="669" ht="21" customHeight="1"/>
    <row r="670" ht="21" customHeight="1"/>
    <row r="671" ht="21" customHeight="1"/>
    <row r="672" ht="21" customHeight="1"/>
    <row r="673" ht="21" customHeight="1"/>
    <row r="674" ht="21" customHeight="1"/>
    <row r="675" ht="21" customHeight="1"/>
    <row r="676" ht="21" customHeight="1"/>
    <row r="677" ht="21" customHeight="1"/>
    <row r="678" ht="21" customHeight="1"/>
    <row r="679" ht="21" customHeight="1"/>
    <row r="680" ht="21" customHeight="1"/>
    <row r="681" ht="21" customHeight="1"/>
    <row r="682" ht="21" customHeight="1"/>
    <row r="683" ht="21" customHeight="1"/>
    <row r="684" ht="21" customHeight="1"/>
    <row r="685" ht="21" customHeight="1"/>
    <row r="686" ht="21" customHeight="1"/>
    <row r="687" ht="21" customHeight="1"/>
    <row r="688" ht="21" customHeight="1"/>
    <row r="689" ht="21" customHeight="1"/>
    <row r="690" ht="21" customHeight="1"/>
    <row r="691" ht="21" customHeight="1"/>
    <row r="692" ht="21" customHeight="1"/>
    <row r="693" ht="21" customHeight="1"/>
    <row r="694" ht="21" customHeight="1"/>
    <row r="695" ht="21" customHeight="1"/>
    <row r="696" ht="21" customHeight="1"/>
    <row r="697" ht="21" customHeight="1"/>
    <row r="698" ht="21" customHeight="1"/>
    <row r="699" ht="21" customHeight="1"/>
    <row r="700" ht="21" customHeight="1"/>
    <row r="701" ht="21" customHeight="1"/>
    <row r="702" ht="21" customHeight="1"/>
    <row r="703" ht="21" customHeight="1"/>
    <row r="704" ht="21" customHeight="1"/>
    <row r="705" ht="21" customHeight="1"/>
    <row r="706" ht="21" customHeight="1"/>
    <row r="707" ht="21" customHeight="1"/>
    <row r="708" ht="21" customHeight="1"/>
    <row r="709" ht="21" customHeight="1"/>
    <row r="710" ht="21" customHeight="1"/>
    <row r="711" ht="21" customHeight="1"/>
    <row r="712" ht="21" customHeight="1"/>
    <row r="713" ht="21" customHeight="1"/>
    <row r="714" ht="21" customHeight="1"/>
    <row r="715" ht="21" customHeight="1"/>
    <row r="716" ht="21" customHeight="1"/>
    <row r="717" ht="21" customHeight="1"/>
    <row r="718" ht="21" customHeight="1"/>
    <row r="719" ht="21" customHeight="1"/>
    <row r="720" ht="21" customHeight="1"/>
    <row r="721" ht="21" customHeight="1"/>
    <row r="722" ht="21" customHeight="1"/>
    <row r="723" ht="21" customHeight="1"/>
    <row r="724" ht="21" customHeight="1"/>
    <row r="725" ht="21" customHeight="1"/>
    <row r="726" ht="21" customHeight="1"/>
    <row r="727" ht="21" customHeight="1"/>
    <row r="728" ht="21" customHeight="1"/>
    <row r="729" ht="21" customHeight="1"/>
    <row r="730" ht="21" customHeight="1"/>
    <row r="731" ht="21" customHeight="1"/>
    <row r="732" ht="21" customHeight="1"/>
    <row r="733" ht="21" customHeight="1"/>
    <row r="734" ht="21" customHeight="1"/>
    <row r="735" ht="21" customHeight="1"/>
    <row r="736" ht="21" customHeight="1"/>
    <row r="737" ht="21" customHeight="1"/>
    <row r="738" ht="21" customHeight="1"/>
    <row r="739" ht="21" customHeight="1"/>
    <row r="740" ht="21" customHeight="1"/>
    <row r="741" ht="21" customHeight="1"/>
    <row r="742" ht="21" customHeight="1"/>
    <row r="743" ht="21" customHeight="1"/>
    <row r="744" ht="21" customHeight="1"/>
    <row r="745" ht="21" customHeight="1"/>
    <row r="746" ht="21" customHeight="1"/>
    <row r="747" ht="21" customHeight="1"/>
    <row r="748" ht="21" customHeight="1"/>
    <row r="749" ht="21" customHeight="1"/>
    <row r="750" ht="21" customHeight="1"/>
    <row r="751" ht="21" customHeight="1"/>
    <row r="752" ht="21" customHeight="1"/>
    <row r="753" ht="21" customHeight="1"/>
    <row r="754" ht="21" customHeight="1"/>
    <row r="755" ht="21" customHeight="1"/>
    <row r="756" ht="21" customHeight="1"/>
    <row r="757" ht="21" customHeight="1"/>
    <row r="758" ht="21" customHeight="1"/>
    <row r="759" ht="21" customHeight="1"/>
    <row r="760" ht="21" customHeight="1"/>
    <row r="761" ht="21" customHeight="1"/>
    <row r="762" ht="21" customHeight="1"/>
    <row r="763" ht="21" customHeight="1"/>
    <row r="764" ht="21" customHeight="1"/>
    <row r="765" ht="21" customHeight="1"/>
    <row r="766" ht="21" customHeight="1"/>
    <row r="767" ht="21" customHeight="1"/>
    <row r="768" ht="21" customHeight="1"/>
    <row r="769" ht="21" customHeight="1"/>
    <row r="770" ht="21" customHeight="1"/>
    <row r="771" ht="21" customHeight="1"/>
    <row r="772" ht="21" customHeight="1"/>
    <row r="773" ht="21" customHeight="1"/>
    <row r="774" ht="21" customHeight="1"/>
    <row r="775" ht="21" customHeight="1"/>
    <row r="776" ht="21" customHeight="1"/>
    <row r="777" ht="21" customHeight="1"/>
    <row r="778" ht="21" customHeight="1"/>
    <row r="779" ht="21" customHeight="1"/>
    <row r="780" ht="21" customHeight="1"/>
    <row r="781" ht="21" customHeight="1"/>
    <row r="782" ht="21" customHeight="1"/>
    <row r="783" ht="21" customHeight="1"/>
    <row r="784" ht="21" customHeight="1"/>
    <row r="785" ht="21" customHeight="1"/>
    <row r="786" ht="21" customHeight="1"/>
    <row r="787" ht="21" customHeight="1"/>
    <row r="788" ht="21" customHeight="1"/>
    <row r="789" ht="21" customHeight="1"/>
    <row r="790" ht="21" customHeight="1"/>
    <row r="791" ht="21" customHeight="1"/>
    <row r="792" ht="21" customHeight="1"/>
    <row r="793" ht="21" customHeight="1"/>
    <row r="794" ht="21" customHeight="1"/>
    <row r="795" ht="21" customHeight="1"/>
    <row r="796" ht="21" customHeight="1"/>
    <row r="797" ht="21" customHeight="1"/>
    <row r="798" ht="21" customHeight="1"/>
    <row r="799" ht="21" customHeight="1"/>
    <row r="800" ht="21" customHeight="1"/>
    <row r="801" ht="21" customHeight="1"/>
    <row r="802" ht="21" customHeight="1"/>
    <row r="803" ht="21" customHeight="1"/>
    <row r="804" ht="21" customHeight="1"/>
    <row r="805" ht="21" customHeight="1"/>
    <row r="806" ht="21" customHeight="1"/>
    <row r="807" ht="21" customHeight="1"/>
    <row r="808" ht="21" customHeight="1"/>
    <row r="809" ht="21" customHeight="1"/>
    <row r="810" ht="21" customHeight="1"/>
    <row r="811" ht="21" customHeight="1"/>
    <row r="812" ht="21" customHeight="1"/>
    <row r="813" ht="21" customHeight="1"/>
    <row r="814" ht="21" customHeight="1"/>
    <row r="815" ht="21" customHeight="1"/>
    <row r="816" ht="21" customHeight="1"/>
    <row r="817" ht="21" customHeight="1"/>
    <row r="818" ht="21" customHeight="1"/>
    <row r="819" ht="21" customHeight="1"/>
    <row r="820" ht="21" customHeight="1"/>
    <row r="821" ht="21" customHeight="1"/>
    <row r="822" ht="21" customHeight="1"/>
    <row r="823" ht="21" customHeight="1"/>
    <row r="824" ht="21" customHeight="1"/>
    <row r="825" ht="21" customHeight="1"/>
    <row r="826" ht="21" customHeight="1"/>
    <row r="827" ht="21" customHeight="1"/>
    <row r="828" ht="21" customHeight="1"/>
    <row r="829" ht="21" customHeight="1"/>
    <row r="830" ht="21" customHeight="1"/>
    <row r="831" ht="21" customHeight="1"/>
    <row r="832" ht="21" customHeight="1"/>
    <row r="833" ht="21" customHeight="1"/>
    <row r="834" ht="21" customHeight="1"/>
    <row r="835" ht="21" customHeight="1"/>
    <row r="836" ht="21" customHeight="1"/>
    <row r="837" ht="21" customHeight="1"/>
    <row r="838" ht="21" customHeight="1"/>
    <row r="839" ht="21" customHeight="1"/>
    <row r="840" ht="21" customHeight="1"/>
    <row r="841" ht="21" customHeight="1"/>
    <row r="842" ht="21" customHeight="1"/>
    <row r="843" ht="21" customHeight="1"/>
    <row r="844" ht="21" customHeight="1"/>
    <row r="845" ht="21" customHeight="1"/>
    <row r="846" ht="21" customHeight="1"/>
    <row r="847" ht="21" customHeight="1"/>
    <row r="848" ht="21" customHeight="1"/>
    <row r="849" ht="21" customHeight="1"/>
    <row r="850" ht="21" customHeight="1"/>
    <row r="851" ht="21" customHeight="1"/>
    <row r="852" ht="21" customHeight="1"/>
    <row r="853" ht="21" customHeight="1"/>
    <row r="854" ht="21" customHeight="1"/>
    <row r="855" ht="21" customHeight="1"/>
    <row r="856" ht="21" customHeight="1"/>
    <row r="857" ht="21" customHeight="1"/>
    <row r="858" ht="21" customHeight="1"/>
    <row r="859" ht="21" customHeight="1"/>
    <row r="860" ht="21" customHeight="1"/>
    <row r="861" ht="21" customHeight="1"/>
    <row r="862" ht="21" customHeight="1"/>
    <row r="863" ht="21" customHeight="1"/>
    <row r="864" ht="21" customHeight="1"/>
    <row r="865" ht="21" customHeight="1"/>
    <row r="866" ht="21" customHeight="1"/>
    <row r="867" ht="21" customHeight="1"/>
    <row r="868" ht="21" customHeight="1"/>
    <row r="869" ht="21" customHeight="1"/>
    <row r="870" ht="21" customHeight="1"/>
    <row r="871" ht="21" customHeight="1"/>
    <row r="872" ht="21" customHeight="1"/>
    <row r="873" ht="21" customHeight="1"/>
    <row r="874" ht="21" customHeight="1"/>
    <row r="875" ht="21" customHeight="1"/>
    <row r="876" ht="21" customHeight="1"/>
    <row r="877" ht="21" customHeight="1"/>
    <row r="878" ht="21" customHeight="1"/>
    <row r="879" ht="21" customHeight="1"/>
    <row r="880" ht="21" customHeight="1"/>
    <row r="881" ht="21" customHeight="1"/>
    <row r="882" ht="21" customHeight="1"/>
    <row r="883" ht="21" customHeight="1"/>
    <row r="884" ht="21" customHeight="1"/>
    <row r="885" ht="21" customHeight="1"/>
    <row r="886" ht="21" customHeight="1"/>
    <row r="887" ht="21" customHeight="1"/>
    <row r="888" ht="21" customHeight="1"/>
    <row r="889" ht="21" customHeight="1"/>
    <row r="890" ht="21" customHeight="1"/>
    <row r="891" ht="21" customHeight="1"/>
    <row r="892" ht="21" customHeight="1"/>
    <row r="893" ht="21" customHeight="1"/>
    <row r="894" ht="21" customHeight="1"/>
    <row r="895" ht="21" customHeight="1"/>
    <row r="896" ht="21" customHeight="1"/>
    <row r="897" ht="21" customHeight="1"/>
    <row r="898" ht="21" customHeight="1"/>
    <row r="899" ht="21" customHeight="1"/>
    <row r="900" ht="21" customHeight="1"/>
    <row r="901" ht="21" customHeight="1"/>
    <row r="902" ht="21" customHeight="1"/>
    <row r="903" ht="21" customHeight="1"/>
    <row r="904" ht="21" customHeight="1"/>
    <row r="905" ht="21" customHeight="1"/>
    <row r="906" ht="21" customHeight="1"/>
    <row r="907" ht="21" customHeight="1"/>
    <row r="908" ht="21" customHeight="1"/>
    <row r="909" ht="21" customHeight="1"/>
    <row r="910" ht="21" customHeight="1"/>
    <row r="911" ht="21" customHeight="1"/>
    <row r="912" ht="21" customHeight="1"/>
    <row r="913" ht="21" customHeight="1"/>
    <row r="914" ht="21" customHeight="1"/>
    <row r="915" ht="21" customHeight="1"/>
    <row r="916" ht="21" customHeight="1"/>
    <row r="917" ht="21" customHeight="1"/>
    <row r="918" ht="21" customHeight="1"/>
    <row r="919" ht="21" customHeight="1"/>
    <row r="920" ht="21" customHeight="1"/>
    <row r="921" ht="21" customHeight="1"/>
    <row r="922" ht="21" customHeight="1"/>
    <row r="923" ht="21" customHeight="1"/>
    <row r="924" ht="21" customHeight="1"/>
    <row r="925" ht="21" customHeight="1"/>
    <row r="926" ht="21" customHeight="1"/>
    <row r="927" ht="21" customHeight="1"/>
    <row r="928" ht="21" customHeight="1"/>
    <row r="929" ht="21" customHeight="1"/>
    <row r="930" ht="21" customHeight="1"/>
    <row r="931" ht="21" customHeight="1"/>
    <row r="932" ht="21" customHeight="1"/>
    <row r="933" ht="21" customHeight="1"/>
    <row r="934" ht="21" customHeight="1"/>
    <row r="935" ht="21" customHeight="1"/>
    <row r="936" ht="21" customHeight="1"/>
    <row r="937" ht="21" customHeight="1"/>
    <row r="938" ht="21" customHeight="1"/>
    <row r="939" ht="21" customHeight="1"/>
    <row r="940" ht="21" customHeight="1"/>
    <row r="941" ht="21" customHeight="1"/>
    <row r="942" ht="21" customHeight="1"/>
    <row r="943" ht="21" customHeight="1"/>
    <row r="944" ht="21" customHeight="1"/>
    <row r="945" ht="21" customHeight="1"/>
    <row r="946" ht="21" customHeight="1"/>
    <row r="947" ht="21" customHeight="1"/>
    <row r="948" ht="21" customHeight="1"/>
    <row r="949" ht="21" customHeight="1"/>
    <row r="950" ht="21" customHeight="1"/>
    <row r="951" ht="21" customHeight="1"/>
    <row r="952" ht="21" customHeight="1"/>
    <row r="953" ht="21" customHeight="1"/>
    <row r="954" ht="21" customHeight="1"/>
    <row r="955" ht="21" customHeight="1"/>
    <row r="956" ht="21" customHeight="1"/>
    <row r="957" ht="21" customHeight="1"/>
    <row r="958" ht="21" customHeight="1"/>
    <row r="959" ht="21" customHeight="1"/>
    <row r="960" ht="21" customHeight="1"/>
    <row r="961" ht="21" customHeight="1"/>
    <row r="962" ht="21" customHeight="1"/>
    <row r="963" ht="21" customHeight="1"/>
    <row r="964" ht="21" customHeight="1"/>
    <row r="965" ht="21" customHeight="1"/>
    <row r="966" ht="21" customHeight="1"/>
    <row r="967" ht="21" customHeight="1"/>
    <row r="968" ht="21" customHeight="1"/>
    <row r="969" ht="21" customHeight="1"/>
    <row r="970" ht="21" customHeight="1"/>
    <row r="971" ht="21" customHeight="1"/>
    <row r="972" ht="21" customHeight="1"/>
    <row r="973" ht="21" customHeight="1"/>
    <row r="974" ht="21" customHeight="1"/>
    <row r="975" ht="21" customHeight="1"/>
    <row r="976" ht="21" customHeight="1"/>
    <row r="977" ht="21" customHeight="1"/>
    <row r="978" ht="21" customHeight="1"/>
    <row r="979" ht="21" customHeight="1"/>
    <row r="980" ht="21" customHeight="1"/>
    <row r="981" ht="21" customHeight="1"/>
    <row r="982" ht="21" customHeight="1"/>
    <row r="983" ht="21" customHeight="1"/>
    <row r="984" ht="21" customHeight="1"/>
    <row r="985" ht="21" customHeight="1"/>
    <row r="986" ht="21" customHeight="1"/>
    <row r="987" ht="21" customHeight="1"/>
    <row r="988" ht="21" customHeight="1"/>
    <row r="989" ht="21" customHeight="1"/>
    <row r="990" ht="21" customHeight="1"/>
    <row r="991" ht="21" customHeight="1"/>
    <row r="992" ht="21" customHeight="1"/>
    <row r="993" ht="21" customHeight="1"/>
    <row r="994" ht="21" customHeight="1"/>
    <row r="995" ht="21" customHeight="1"/>
    <row r="996" ht="21" customHeight="1"/>
    <row r="997" ht="21" customHeight="1"/>
    <row r="998" ht="21" customHeight="1"/>
    <row r="999" ht="21" customHeight="1"/>
  </sheetData>
  <mergeCells count="3">
    <mergeCell ref="A1:D1"/>
    <mergeCell ref="A2:D2"/>
    <mergeCell ref="A34:D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00_Overview</vt:lpstr>
      <vt:lpstr>01_Authentication</vt:lpstr>
      <vt:lpstr>02_Products</vt:lpstr>
      <vt:lpstr>03_Cart</vt:lpstr>
      <vt:lpstr>04_Checkout</vt:lpstr>
      <vt:lpstr>05_Support</vt:lpstr>
      <vt:lpstr>06_Navigation</vt:lpstr>
      <vt:lpstr>07_API</vt:lpstr>
      <vt:lpstr>98_Jira_Review</vt:lpstr>
      <vt:lpstr>99_Test_Data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2026-09-28T11:34:05Z</dcterms:modified>
</cp:coreProperties>
</file>